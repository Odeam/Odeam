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definedNames>
    <definedName function="false" hidden="false" localSheetId="0" name="_xlnm.Print_Area" vbProcedure="false">Quotation!$A$1:$H$48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8" authorId="0">
      <text>
        <r>
          <rPr>
            <sz val="10"/>
            <rFont val="Arial"/>
            <family val="2"/>
          </rPr>
          <t xml:space="preserve">Typed text - update manually if any rate, quantity or charge changes.</t>
        </r>
      </text>
    </comment>
    <comment ref="D16" authorId="0">
      <text>
        <r>
          <rPr>
            <sz val="10"/>
            <rFont val="Arial"/>
            <family val="2"/>
          </rPr>
          <t xml:space="preserve">Total = Qty per building × 3 buildings</t>
        </r>
      </text>
    </comment>
  </commentList>
</comments>
</file>

<file path=xl/sharedStrings.xml><?xml version="1.0" encoding="utf-8"?>
<sst xmlns="http://schemas.openxmlformats.org/spreadsheetml/2006/main" count="59" uniqueCount="50">
  <si>
    <t xml:space="preserve">DATE:</t>
  </si>
  <si>
    <t xml:space="preserve">13/10/2026</t>
  </si>
  <si>
    <t xml:space="preserve">CLIENT:</t>
  </si>
  <si>
    <t xml:space="preserve">Daewoo E &amp; C Nigeria Limited</t>
  </si>
  <si>
    <t xml:space="preserve">ADDRESS:</t>
  </si>
  <si>
    <t xml:space="preserve">Bonny Island, Rivers State</t>
  </si>
  <si>
    <t xml:space="preserve">SUBJECT: QUOTATION FOR NIGALEX ALUMINIUM PROFILE CASEMENT AND SLIDING WINDOWS, GLAZED WITH 6MM LAMINATED DOUBLE GLASS TRANSLUCENT WINDOW PANELS WITH REMOVABLE INSECT SCREEN</t>
  </si>
  <si>
    <t xml:space="preserve">MATERIAL TAKE-OFF FOR ALUMINIUM WINDOWS IN TYPE B APARTMENT BUILDING</t>
  </si>
  <si>
    <t xml:space="preserve">Window Type</t>
  </si>
  <si>
    <t xml:space="preserve">Description of Window</t>
  </si>
  <si>
    <t xml:space="preserve">Qty Per Bldg</t>
  </si>
  <si>
    <t xml:space="preserve">Total for 3 Bldgs</t>
  </si>
  <si>
    <t xml:space="preserve">Unit</t>
  </si>
  <si>
    <t xml:space="preserve">Materials</t>
  </si>
  <si>
    <t xml:space="preserve">Rate (₦)</t>
  </si>
  <si>
    <t xml:space="preserve">Amount (₦)</t>
  </si>
  <si>
    <t xml:space="preserve">WINDOWS</t>
  </si>
  <si>
    <t xml:space="preserve">W1</t>
  </si>
  <si>
    <t xml:space="preserve">Aluminium framed casement window, comprising of laminated window panels with removable insect screen/mesh. Fitted with tamper proof latch on frame. Overall size 1200mm x 1200mm</t>
  </si>
  <si>
    <t xml:space="preserve">nos</t>
  </si>
  <si>
    <t xml:space="preserve">Aluminium &amp; Glass</t>
  </si>
  <si>
    <t xml:space="preserve">W2</t>
  </si>
  <si>
    <t xml:space="preserve">Powder coated aluminium framed sliding window, comprising of laminated sliding window panels on 2 tracks with removable insect screen/mesh. Fitted with tamper proof latch on frame. Overall size 2400mm x 2000mm</t>
  </si>
  <si>
    <t xml:space="preserve">W3</t>
  </si>
  <si>
    <t xml:space="preserve">Powder coated aluminium casement window of 1 no laminated side hung panel with removable insect screen/mesh. Fitted with tamper proof latch on frame. Overall size 970mm x 750mm</t>
  </si>
  <si>
    <t xml:space="preserve">W4</t>
  </si>
  <si>
    <t xml:space="preserve">Powder coated aluminium framed casement window, comprising of 2 laminated casement translucent window panels with removable insect screen/mesh. Fitted with tamper proof latch on frame. Overall size 1200mm x 900mm</t>
  </si>
  <si>
    <t xml:space="preserve">W5</t>
  </si>
  <si>
    <t xml:space="preserve">Powder coated aluminium casement window of 1 no laminated top hung translucent panel with removable insect screen/mesh. Fitted with tamper proof latch on frame. Overall size 850mm x 1200mm</t>
  </si>
  <si>
    <t xml:space="preserve">SUB-TOTAL (WINDOWS)</t>
  </si>
  <si>
    <t xml:space="preserve">SITE INSTALLATION</t>
  </si>
  <si>
    <t xml:space="preserve">TRANSPORTATION AND SHIPPING</t>
  </si>
  <si>
    <t xml:space="preserve">TOTAL COST OF ALUMINIUM WINDOWS IN PKG B</t>
  </si>
  <si>
    <t xml:space="preserve">LESS: DISCOUNT</t>
  </si>
  <si>
    <t xml:space="preserve">GRAND TOTAL</t>
  </si>
  <si>
    <t xml:space="preserve">AMOUNT IN WORDS: THIRTY EIGHT MILLION, FIVE HUNDRED AND THIRTY EIGHT THOUSAND, SEVEN HUNDRED AND SIXTY SEVEN NAIRA, SIX KOBO ONLY.</t>
  </si>
  <si>
    <t xml:space="preserve">DESCRIPTION</t>
  </si>
  <si>
    <t xml:space="preserve">DURATION</t>
  </si>
  <si>
    <t xml:space="preserve">NOTE</t>
  </si>
  <si>
    <t xml:space="preserve">BOOKING OF MATERIALS</t>
  </si>
  <si>
    <t xml:space="preserve">FABRICATION OF WINDOWS</t>
  </si>
  <si>
    <t xml:space="preserve">INSTALLATION</t>
  </si>
  <si>
    <t xml:space="preserve">TOTAL DURATION</t>
  </si>
  <si>
    <t xml:space="preserve">PAYMENT TERMS</t>
  </si>
  <si>
    <t xml:space="preserve">1. advance of total amount</t>
  </si>
  <si>
    <t xml:space="preserve">2. upon completion of installation in Type B apartment building in Bonny Island</t>
  </si>
  <si>
    <t xml:space="preserve">Yours faithfully,</t>
  </si>
  <si>
    <t xml:space="preserve">For: Divine Glory Global Investment Resources Ltd</t>
  </si>
  <si>
    <t xml:space="preserve">Toluwaloju Babatunde</t>
  </si>
  <si>
    <t xml:space="preserve">Managing Director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</si>
</sst>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&quot; WEEK(S)&quot;"/>
    <numFmt numFmtId="167" formatCode="0&quot; WEEKS&quot;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683280</xdr:colOff>
      <xdr:row>5</xdr:row>
      <xdr:rowOff>28440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238520" cy="10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412920</xdr:colOff>
      <xdr:row>45</xdr:row>
      <xdr:rowOff>9000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2754080"/>
          <a:ext cx="104724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7" customFormat="false" ht="15" hidden="false" customHeight="false" outlineLevel="0" collapsed="false">
      <c r="A7" s="1" t="s">
        <v>0</v>
      </c>
      <c r="B7" s="2" t="s">
        <v>1</v>
      </c>
    </row>
    <row r="8" customFormat="false" ht="15" hidden="false" customHeight="false" outlineLevel="0" collapsed="false">
      <c r="A8" s="1" t="s">
        <v>2</v>
      </c>
      <c r="B8" s="2" t="s">
        <v>3</v>
      </c>
    </row>
    <row r="9" customFormat="false" ht="15" hidden="false" customHeight="false" outlineLevel="0" collapsed="false">
      <c r="A9" s="1" t="s">
        <v>4</v>
      </c>
      <c r="B9" s="2" t="s">
        <v>5</v>
      </c>
    </row>
    <row r="11" customFormat="false" ht="43.5" hidden="false" customHeight="true" outlineLevel="0" collapsed="false">
      <c r="A11" s="3" t="s">
        <v>6</v>
      </c>
      <c r="B11" s="3"/>
      <c r="C11" s="3"/>
      <c r="D11" s="3"/>
      <c r="E11" s="3"/>
      <c r="F11" s="3"/>
      <c r="G11" s="3"/>
      <c r="H11" s="3"/>
    </row>
    <row r="13" customFormat="false" ht="19.5" hidden="false" customHeight="true" outlineLevel="0" collapsed="false">
      <c r="A13" s="4" t="s">
        <v>7</v>
      </c>
      <c r="B13" s="4"/>
      <c r="C13" s="4"/>
      <c r="D13" s="4"/>
      <c r="E13" s="4"/>
      <c r="F13" s="4"/>
      <c r="G13" s="4"/>
      <c r="H13" s="4"/>
    </row>
    <row r="14" customFormat="false" ht="31.5" hidden="false" customHeight="true" outlineLevel="0" collapsed="false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</row>
    <row r="15" customFormat="false" ht="15" hidden="false" customHeight="false" outlineLevel="0" collapsed="false">
      <c r="A15" s="6"/>
      <c r="B15" s="7" t="s">
        <v>16</v>
      </c>
      <c r="C15" s="6"/>
      <c r="D15" s="6"/>
      <c r="E15" s="6"/>
      <c r="F15" s="6"/>
      <c r="G15" s="6"/>
      <c r="H15" s="6"/>
    </row>
    <row r="16" customFormat="false" ht="67.5" hidden="false" customHeight="true" outlineLevel="0" collapsed="false">
      <c r="A16" s="8" t="s">
        <v>17</v>
      </c>
      <c r="B16" s="9" t="s">
        <v>18</v>
      </c>
      <c r="C16" s="10" t="n">
        <v>9</v>
      </c>
      <c r="D16" s="8" t="n">
        <f aca="false">C16*3</f>
        <v>27</v>
      </c>
      <c r="E16" s="8" t="s">
        <v>19</v>
      </c>
      <c r="F16" s="9" t="s">
        <v>20</v>
      </c>
      <c r="G16" s="11" t="n">
        <v>554730</v>
      </c>
      <c r="H16" s="12" t="n">
        <f aca="false">D16*G16</f>
        <v>14977710</v>
      </c>
    </row>
    <row r="17" customFormat="false" ht="67.5" hidden="false" customHeight="true" outlineLevel="0" collapsed="false">
      <c r="A17" s="8" t="s">
        <v>21</v>
      </c>
      <c r="B17" s="9" t="s">
        <v>22</v>
      </c>
      <c r="C17" s="10" t="n">
        <v>2</v>
      </c>
      <c r="D17" s="8" t="n">
        <f aca="false">C17*3</f>
        <v>6</v>
      </c>
      <c r="E17" s="8" t="s">
        <v>19</v>
      </c>
      <c r="F17" s="9" t="s">
        <v>20</v>
      </c>
      <c r="G17" s="11" t="n">
        <v>1413144.75</v>
      </c>
      <c r="H17" s="12" t="n">
        <f aca="false">D17*G17</f>
        <v>8478868.5</v>
      </c>
    </row>
    <row r="18" customFormat="false" ht="67.5" hidden="false" customHeight="true" outlineLevel="0" collapsed="false">
      <c r="A18" s="8" t="s">
        <v>23</v>
      </c>
      <c r="B18" s="9" t="s">
        <v>24</v>
      </c>
      <c r="C18" s="10" t="n">
        <v>6</v>
      </c>
      <c r="D18" s="8" t="n">
        <f aca="false">C18*3</f>
        <v>18</v>
      </c>
      <c r="E18" s="8" t="s">
        <v>19</v>
      </c>
      <c r="F18" s="9" t="s">
        <v>20</v>
      </c>
      <c r="G18" s="11" t="n">
        <v>360000</v>
      </c>
      <c r="H18" s="12" t="n">
        <f aca="false">D18*G18</f>
        <v>6480000</v>
      </c>
    </row>
    <row r="19" customFormat="false" ht="67.5" hidden="false" customHeight="true" outlineLevel="0" collapsed="false">
      <c r="A19" s="8" t="s">
        <v>25</v>
      </c>
      <c r="B19" s="9" t="s">
        <v>26</v>
      </c>
      <c r="C19" s="10" t="n">
        <v>1</v>
      </c>
      <c r="D19" s="8" t="n">
        <f aca="false">C19*3</f>
        <v>3</v>
      </c>
      <c r="E19" s="8" t="s">
        <v>19</v>
      </c>
      <c r="F19" s="9" t="s">
        <v>20</v>
      </c>
      <c r="G19" s="11" t="n">
        <v>500642.5</v>
      </c>
      <c r="H19" s="12" t="n">
        <f aca="false">D19*G19</f>
        <v>1501927.5</v>
      </c>
    </row>
    <row r="20" customFormat="false" ht="67.5" hidden="false" customHeight="true" outlineLevel="0" collapsed="false">
      <c r="A20" s="8" t="s">
        <v>27</v>
      </c>
      <c r="B20" s="9" t="s">
        <v>28</v>
      </c>
      <c r="C20" s="10" t="n">
        <v>1</v>
      </c>
      <c r="D20" s="8" t="n">
        <f aca="false">C20*3</f>
        <v>3</v>
      </c>
      <c r="E20" s="8" t="s">
        <v>19</v>
      </c>
      <c r="F20" s="9" t="s">
        <v>20</v>
      </c>
      <c r="G20" s="11" t="n">
        <v>500087.02</v>
      </c>
      <c r="H20" s="12" t="n">
        <f aca="false">D20*G20</f>
        <v>1500261.06</v>
      </c>
    </row>
    <row r="21" customFormat="false" ht="18" hidden="false" customHeight="true" outlineLevel="0" collapsed="false">
      <c r="A21" s="6"/>
      <c r="B21" s="13" t="s">
        <v>29</v>
      </c>
      <c r="C21" s="13"/>
      <c r="D21" s="13"/>
      <c r="E21" s="13"/>
      <c r="F21" s="13"/>
      <c r="G21" s="13"/>
      <c r="H21" s="14" t="n">
        <f aca="false">SUM(H16:H20)</f>
        <v>32938767.06</v>
      </c>
    </row>
    <row r="22" customFormat="false" ht="18" hidden="false" customHeight="true" outlineLevel="0" collapsed="false">
      <c r="A22" s="6"/>
      <c r="B22" s="9" t="s">
        <v>30</v>
      </c>
      <c r="C22" s="9"/>
      <c r="D22" s="9"/>
      <c r="E22" s="9"/>
      <c r="F22" s="9"/>
      <c r="G22" s="9"/>
      <c r="H22" s="15" t="n">
        <v>3000000</v>
      </c>
    </row>
    <row r="23" customFormat="false" ht="18" hidden="false" customHeight="true" outlineLevel="0" collapsed="false">
      <c r="A23" s="6"/>
      <c r="B23" s="9" t="s">
        <v>31</v>
      </c>
      <c r="C23" s="9"/>
      <c r="D23" s="9"/>
      <c r="E23" s="9"/>
      <c r="F23" s="9"/>
      <c r="G23" s="9"/>
      <c r="H23" s="15" t="n">
        <v>3600000</v>
      </c>
    </row>
    <row r="24" customFormat="false" ht="18" hidden="false" customHeight="true" outlineLevel="0" collapsed="false">
      <c r="A24" s="6"/>
      <c r="B24" s="13" t="s">
        <v>32</v>
      </c>
      <c r="C24" s="13"/>
      <c r="D24" s="13"/>
      <c r="E24" s="13"/>
      <c r="F24" s="13"/>
      <c r="G24" s="13"/>
      <c r="H24" s="14" t="n">
        <f aca="false">SUM(H21:H23)</f>
        <v>39538767.06</v>
      </c>
    </row>
    <row r="25" customFormat="false" ht="18" hidden="false" customHeight="true" outlineLevel="0" collapsed="false">
      <c r="A25" s="6"/>
      <c r="B25" s="9" t="s">
        <v>33</v>
      </c>
      <c r="C25" s="9"/>
      <c r="D25" s="9"/>
      <c r="E25" s="9"/>
      <c r="F25" s="9"/>
      <c r="G25" s="9"/>
      <c r="H25" s="15" t="n">
        <v>1000000</v>
      </c>
    </row>
    <row r="26" customFormat="false" ht="18" hidden="false" customHeight="true" outlineLevel="0" collapsed="false">
      <c r="A26" s="16"/>
      <c r="B26" s="17" t="s">
        <v>34</v>
      </c>
      <c r="C26" s="17"/>
      <c r="D26" s="17"/>
      <c r="E26" s="17"/>
      <c r="F26" s="17"/>
      <c r="G26" s="17"/>
      <c r="H26" s="18" t="n">
        <f aca="false">H24-H25</f>
        <v>38538767.06</v>
      </c>
    </row>
    <row r="28" customFormat="false" ht="30" hidden="false" customHeight="true" outlineLevel="0" collapsed="false">
      <c r="A28" s="19" t="s">
        <v>35</v>
      </c>
      <c r="B28" s="19"/>
      <c r="C28" s="19"/>
      <c r="D28" s="19"/>
      <c r="E28" s="19"/>
      <c r="F28" s="19"/>
      <c r="G28" s="19"/>
      <c r="H28" s="19"/>
    </row>
    <row r="30" customFormat="false" ht="15" hidden="false" customHeight="true" outlineLevel="0" collapsed="false">
      <c r="A30" s="5" t="s">
        <v>36</v>
      </c>
      <c r="B30" s="5"/>
      <c r="C30" s="5" t="s">
        <v>37</v>
      </c>
      <c r="D30" s="5"/>
      <c r="E30" s="5"/>
      <c r="F30" s="5" t="s">
        <v>38</v>
      </c>
      <c r="G30" s="5"/>
      <c r="H30" s="5"/>
    </row>
    <row r="31" customFormat="false" ht="15" hidden="false" customHeight="false" outlineLevel="0" collapsed="false">
      <c r="A31" s="20" t="s">
        <v>39</v>
      </c>
      <c r="B31" s="20"/>
      <c r="C31" s="21" t="n">
        <v>3</v>
      </c>
      <c r="D31" s="21"/>
      <c r="E31" s="21"/>
      <c r="F31" s="20"/>
      <c r="G31" s="20"/>
      <c r="H31" s="20"/>
    </row>
    <row r="32" customFormat="false" ht="15" hidden="false" customHeight="false" outlineLevel="0" collapsed="false">
      <c r="A32" s="20" t="s">
        <v>40</v>
      </c>
      <c r="B32" s="20"/>
      <c r="C32" s="21" t="n">
        <v>2</v>
      </c>
      <c r="D32" s="21"/>
      <c r="E32" s="21"/>
      <c r="F32" s="20"/>
      <c r="G32" s="20"/>
      <c r="H32" s="20"/>
    </row>
    <row r="33" customFormat="false" ht="15" hidden="false" customHeight="false" outlineLevel="0" collapsed="false">
      <c r="A33" s="20" t="s">
        <v>31</v>
      </c>
      <c r="B33" s="20"/>
      <c r="C33" s="21" t="n">
        <v>1</v>
      </c>
      <c r="D33" s="21"/>
      <c r="E33" s="21"/>
      <c r="F33" s="20"/>
      <c r="G33" s="20"/>
      <c r="H33" s="20"/>
    </row>
    <row r="34" customFormat="false" ht="15" hidden="false" customHeight="false" outlineLevel="0" collapsed="false">
      <c r="A34" s="20" t="s">
        <v>41</v>
      </c>
      <c r="B34" s="20"/>
      <c r="C34" s="21" t="n">
        <v>1</v>
      </c>
      <c r="D34" s="21"/>
      <c r="E34" s="21"/>
      <c r="F34" s="20"/>
      <c r="G34" s="20"/>
      <c r="H34" s="20"/>
    </row>
    <row r="35" customFormat="false" ht="15" hidden="false" customHeight="false" outlineLevel="0" collapsed="false">
      <c r="A35" s="7" t="s">
        <v>42</v>
      </c>
      <c r="B35" s="7"/>
      <c r="C35" s="22" t="n">
        <f aca="false">SUM(C31:C34)</f>
        <v>7</v>
      </c>
      <c r="D35" s="22"/>
      <c r="E35" s="22"/>
      <c r="F35" s="7"/>
      <c r="G35" s="7"/>
      <c r="H35" s="7"/>
    </row>
    <row r="37" customFormat="false" ht="15" hidden="false" customHeight="true" outlineLevel="0" collapsed="false">
      <c r="A37" s="3" t="s">
        <v>43</v>
      </c>
      <c r="B37" s="3"/>
      <c r="C37" s="3"/>
      <c r="D37" s="3"/>
      <c r="E37" s="3"/>
      <c r="F37" s="3"/>
      <c r="G37" s="3"/>
      <c r="H37" s="3"/>
    </row>
    <row r="38" customFormat="false" ht="27.75" hidden="false" customHeight="true" outlineLevel="0" collapsed="false">
      <c r="A38" s="23" t="n">
        <v>0.8</v>
      </c>
      <c r="B38" s="24" t="s">
        <v>44</v>
      </c>
      <c r="C38" s="24"/>
      <c r="D38" s="24"/>
      <c r="E38" s="24"/>
      <c r="F38" s="24"/>
      <c r="G38" s="24"/>
      <c r="H38" s="25" t="n">
        <f aca="false">$H$26*A38</f>
        <v>30831013.648</v>
      </c>
    </row>
    <row r="39" customFormat="false" ht="27.75" hidden="false" customHeight="true" outlineLevel="0" collapsed="false">
      <c r="A39" s="23" t="n">
        <v>0.2</v>
      </c>
      <c r="B39" s="24" t="s">
        <v>45</v>
      </c>
      <c r="C39" s="24"/>
      <c r="D39" s="24"/>
      <c r="E39" s="24"/>
      <c r="F39" s="24"/>
      <c r="G39" s="24"/>
      <c r="H39" s="25" t="n">
        <f aca="false">$H$26*A39</f>
        <v>7707753.412</v>
      </c>
    </row>
    <row r="41" customFormat="false" ht="15" hidden="false" customHeight="false" outlineLevel="0" collapsed="false">
      <c r="A41" s="2" t="s">
        <v>46</v>
      </c>
    </row>
    <row r="42" customFormat="false" ht="15" hidden="false" customHeight="false" outlineLevel="0" collapsed="false">
      <c r="A42" s="1" t="s">
        <v>47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" hidden="false" customHeight="false" outlineLevel="0" collapsed="false">
      <c r="A47" s="1" t="s">
        <v>48</v>
      </c>
    </row>
    <row r="48" customFormat="false" ht="15" hidden="false" customHeight="false" outlineLevel="0" collapsed="false">
      <c r="A48" s="2" t="s">
        <v>49</v>
      </c>
    </row>
  </sheetData>
  <mergeCells count="30">
    <mergeCell ref="A11:H11"/>
    <mergeCell ref="A13:H13"/>
    <mergeCell ref="B21:G21"/>
    <mergeCell ref="B22:G22"/>
    <mergeCell ref="B23:G23"/>
    <mergeCell ref="B24:G24"/>
    <mergeCell ref="B25:G25"/>
    <mergeCell ref="B26:G26"/>
    <mergeCell ref="A28:H28"/>
    <mergeCell ref="A30:B30"/>
    <mergeCell ref="C30:E30"/>
    <mergeCell ref="F30:H30"/>
    <mergeCell ref="A31:B31"/>
    <mergeCell ref="C31:E31"/>
    <mergeCell ref="F31:H31"/>
    <mergeCell ref="A32:B32"/>
    <mergeCell ref="C32:E32"/>
    <mergeCell ref="F32:H32"/>
    <mergeCell ref="A33:B33"/>
    <mergeCell ref="C33:E33"/>
    <mergeCell ref="F33:H33"/>
    <mergeCell ref="A34:B34"/>
    <mergeCell ref="C34:E34"/>
    <mergeCell ref="F34:H34"/>
    <mergeCell ref="A35:B35"/>
    <mergeCell ref="C35:E35"/>
    <mergeCell ref="F35:H35"/>
    <mergeCell ref="A37:H37"/>
    <mergeCell ref="B38:G38"/>
    <mergeCell ref="B39:G3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6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2026-10-19T11:17:44Z</dcterms:created>
  <dc:creator>openpyxl</dc:creator>
  <dc:description/>
  <dc:language>en-US</dc:language>
  <cp:lastModifiedBy/>
  <dcterms:modified xsi:type="dcterms:W3CDTF">2026-10-19T11:17:44Z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