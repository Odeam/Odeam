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mpanies\Woodlite FILES\All Templates\New Templates\"/>
    </mc:Choice>
  </mc:AlternateContent>
  <xr:revisionPtr revIDLastSave="0" documentId="13_ncr:1_{FB347EEC-C744-4B9F-A526-A56B1B90C743}" xr6:coauthVersionLast="47" xr6:coauthVersionMax="47" xr10:uidLastSave="{00000000-0000-0000-0000-000000000000}"/>
  <bookViews>
    <workbookView xWindow="15330" yWindow="0" windowWidth="14175" windowHeight="15585" activeTab="6" xr2:uid="{00000000-000D-0000-FFFF-FFFF00000000}"/>
  </bookViews>
  <sheets>
    <sheet name="Protech" sheetId="1" r:id="rId1"/>
    <sheet name="DoilMetal Inc." sheetId="2" r:id="rId2"/>
    <sheet name="Hyundai Welding" sheetId="3" r:id="rId3"/>
    <sheet name="TK Piping" sheetId="4" r:id="rId4"/>
    <sheet name="NUVOLA" sheetId="5" r:id="rId5"/>
    <sheet name="DELION KOREA" sheetId="6" r:id="rId6"/>
    <sheet name="CHAMOL" sheetId="7" r:id="rId11"/>
  </sheets>
  <definedNames>
    <definedName name="_xlnm.Print_Area" localSheetId="6">CHAMOL!$A$1:$F$106</definedName>
    <definedName name="_xlnm.Print_Area" localSheetId="5">'DELION KOREA'!$A$1:$F$51</definedName>
    <definedName name="_xlnm.Print_Area" localSheetId="1">'DoilMetal Inc.'!$A$1:$F$51</definedName>
    <definedName name="_xlnm.Print_Area" localSheetId="2">'Hyundai Welding'!$A$1:$F$52</definedName>
    <definedName name="_xlnm.Print_Area" localSheetId="4">NUVOLA!$A$1:$F$52</definedName>
    <definedName name="_xlnm.Print_Area" localSheetId="0">Protech!$A$1:$F$52</definedName>
    <definedName name="_xlnm.Print_Area" localSheetId="3">'TK Piping'!$A$1:$F$52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<sst xmlns="http://schemas.openxmlformats.org/spreadsheetml/2006/main" count="301" uniqueCount="105">
  <si>
    <t xml:space="preserve">P.O. DATE </t>
  </si>
  <si>
    <t xml:space="preserve">REQUISITIONER </t>
  </si>
  <si>
    <t xml:space="preserve">SHIPPED VIA </t>
  </si>
  <si>
    <t xml:space="preserve">F.O.B POINT </t>
  </si>
  <si>
    <t xml:space="preserve">TERMS </t>
  </si>
  <si>
    <t xml:space="preserve">SELLER: </t>
  </si>
  <si>
    <t>Woodlite International Services Limited</t>
  </si>
  <si>
    <t>KM 16 East West Road</t>
  </si>
  <si>
    <t>Rumuosi</t>
  </si>
  <si>
    <t>Port Harcourt Rivers State</t>
  </si>
  <si>
    <t>woodlite18@gmail.com</t>
  </si>
  <si>
    <t>Tel: +234-8035484914</t>
  </si>
  <si>
    <t xml:space="preserve">NOTIFY FOR ORDERING ITEMS AS ABOVE                                                                               </t>
  </si>
  <si>
    <t>AMADI KINKANWO</t>
  </si>
  <si>
    <t>WOODLITE INTERNATIONAL SERVICES LTD</t>
  </si>
  <si>
    <t>PURCHASE ORDER</t>
  </si>
  <si>
    <t xml:space="preserve">VENDOR: </t>
  </si>
  <si>
    <t>Comment:</t>
  </si>
  <si>
    <t>ACCEPT FOR ORDERING ITEMS AS ABOVE:</t>
  </si>
  <si>
    <t>Payment:</t>
  </si>
  <si>
    <t>1) T.T AP 100%</t>
  </si>
  <si>
    <t>2) Excluding V.A.T</t>
  </si>
  <si>
    <t>Attention: Amadi Kinikanwo 
KM 16 East West Road,
Rumuosi, Port Harcourt,
 Rivers State. 
08035484914 woodlite18@gmail.com</t>
  </si>
  <si>
    <t xml:space="preserve">KM 16 East West Road, </t>
  </si>
  <si>
    <t>Rumuosi, Port Harcourt,</t>
  </si>
  <si>
    <t xml:space="preserve"> Rivers State</t>
  </si>
  <si>
    <t>08035484914</t>
  </si>
  <si>
    <r>
      <rPr>
        <b/>
        <sz val="11"/>
        <color theme="1"/>
        <rFont val="Cambria"/>
        <family val="1"/>
      </rPr>
      <t xml:space="preserve">Attention: </t>
    </r>
    <r>
      <rPr>
        <sz val="11"/>
        <color theme="1"/>
        <rFont val="Cambria"/>
        <family val="1"/>
      </rPr>
      <t xml:space="preserve">Amadi Kinikanwo </t>
    </r>
  </si>
  <si>
    <t>ITEM</t>
  </si>
  <si>
    <t>DESCRIPTION</t>
  </si>
  <si>
    <t>QTY</t>
  </si>
  <si>
    <t>UNIT</t>
  </si>
  <si>
    <t>AMOUNT</t>
  </si>
  <si>
    <t>SUB-TOTAL</t>
  </si>
  <si>
    <t>Lot</t>
  </si>
  <si>
    <t>Delivery Terms: FOB China</t>
  </si>
  <si>
    <t xml:space="preserve">DATE: 03-11-2022 </t>
  </si>
  <si>
    <t>DATE: 03-11-2022</t>
  </si>
  <si>
    <t>Date: 13-12-2022</t>
  </si>
  <si>
    <t>PO Number: OPBM2-KP028D</t>
  </si>
  <si>
    <t>Protech Co.,Ltd</t>
  </si>
  <si>
    <t>Pentraus 105-1304, 205 Baekbeom-ro,</t>
  </si>
  <si>
    <t>Mapo-gu, Seoul 04194, Korea</t>
  </si>
  <si>
    <t>info@protechens.com</t>
  </si>
  <si>
    <t>+82-(0)2-704-2626/2727</t>
  </si>
  <si>
    <t>OPBM2-KP028D, Tool&amp;Consummable(Piping)</t>
  </si>
  <si>
    <t>PROTECH CO.LTD.</t>
  </si>
  <si>
    <t>RC NO:</t>
  </si>
  <si>
    <t xml:space="preserve">TIN NO: </t>
  </si>
  <si>
    <t>20253983-0001</t>
  </si>
  <si>
    <t>WOODLITE INTERNATIONAL SERVICES LTD.</t>
  </si>
  <si>
    <t>1) Advance Payment 50%, Delivery 50%</t>
  </si>
  <si>
    <t>TKPIPING CO., LTD</t>
  </si>
  <si>
    <t>Address: 27, Beoman-ro 336beon-gil,</t>
  </si>
  <si>
    <t>Siheung-si, Gyeonggi-do, Korea</t>
  </si>
  <si>
    <t xml:space="preserve"> TEL. 02-858-8534</t>
  </si>
  <si>
    <t xml:space="preserve"> FAX. 02-858-8546</t>
  </si>
  <si>
    <t>Contact email: tkp@tkpiping.com</t>
  </si>
  <si>
    <t>DATE: 25-02-2025</t>
  </si>
  <si>
    <t>1) AP 50% , after delivery 50% T/T</t>
  </si>
  <si>
    <t>PO NUMBER: OPBM2-KP070D-01</t>
  </si>
  <si>
    <t>Gasket</t>
  </si>
  <si>
    <t>Delivery Terms: FCA Busan packing center</t>
  </si>
  <si>
    <t>1) As per your regular term</t>
  </si>
  <si>
    <t>Procurement Piping Insulation</t>
  </si>
  <si>
    <t xml:space="preserve">Delivery Terms: FOB Shanghai seaport </t>
  </si>
  <si>
    <t>Unit Dcom,16F,One Capital Place</t>
  </si>
  <si>
    <t>18 Luard Road Wan Chai Hongkong, China</t>
  </si>
  <si>
    <t>Tel: +86 21 31343513 Fax: +86 21 31343512</t>
  </si>
  <si>
    <t>Mobile phone:+8613795346466</t>
  </si>
  <si>
    <t>E-mail: milano@shnuvola.com</t>
  </si>
  <si>
    <t>NUVOLA (HK) INDUSTRIAL INVESTMENT LIMITED</t>
  </si>
  <si>
    <t>PO NUMBER: OPBV1-KJ001N-01</t>
  </si>
  <si>
    <t>DATE: 24-04-2025</t>
  </si>
  <si>
    <t>DELION KOREA</t>
  </si>
  <si>
    <t>#415 The’O valley, LS-ro 76, Hogye dong</t>
  </si>
  <si>
    <t xml:space="preserve">Dongan Gu, Anyang si, Gyeonggi do, Korea. </t>
  </si>
  <si>
    <t>Delivery Terms: FCA JABEL ALI PORT</t>
  </si>
  <si>
    <t xml:space="preserve">ZIP : 14117, </t>
  </si>
  <si>
    <t>Phone: ‪+82 31 347 0300‬</t>
  </si>
  <si>
    <t>Fax : ‪+82-31-935-0306‬</t>
  </si>
  <si>
    <t>1) Excluding V.A.T</t>
  </si>
  <si>
    <t>PO NUMBER: Maintenance Services</t>
  </si>
  <si>
    <t>DATE: 16-05-2025</t>
  </si>
  <si>
    <t>Circle Co.,ltd</t>
  </si>
  <si>
    <t>102, 7-8, Sanhyeon-ro 17beon-gil,</t>
  </si>
  <si>
    <t>Ilsanseo-gu, Goyang-si, Gyeonggi-do,</t>
  </si>
  <si>
    <t>Republic of Korea</t>
  </si>
  <si>
    <t>Tel: +82 10 8992 2706</t>
  </si>
  <si>
    <t>Servicing and Maintenance of Valves</t>
  </si>
  <si>
    <t>Servicing of Heavy duty machinery</t>
  </si>
  <si>
    <t>CIRCLE CO.,LTD.</t>
  </si>
  <si>
    <t>Delivery Terms: FOB KOREA PORT</t>
  </si>
  <si>
    <t>DATE: 23-06-2025</t>
  </si>
  <si>
    <t>CMP Products Limited</t>
  </si>
  <si>
    <t>3 Nelson Way, Nelson Park East</t>
  </si>
  <si>
    <t>Cramlington, NE23 1EB, UNITED KINGDOM</t>
  </si>
  <si>
    <t>T: +44 191 265 7411</t>
  </si>
  <si>
    <t>customerservices@cmp-products.com</t>
  </si>
  <si>
    <t>www.cmp-products.com</t>
  </si>
  <si>
    <t>Delivery Terms: Ex works CMP UK</t>
  </si>
  <si>
    <t>PO NUMBER: OPBM2-KE081D-01</t>
  </si>
  <si>
    <t>Cable Gland and Blind Plug (CMP Africa)</t>
  </si>
  <si>
    <t>1)Payment shall be by Pro-Forma invoice before dispatch</t>
  </si>
  <si>
    <t>DATE: 06-10-2025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</si>
</sst>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mbria"/>
      <family val="1"/>
    </font>
    <font>
      <b/>
      <sz val="10"/>
      <color theme="1"/>
      <name val="Cambria"/>
      <family val="1"/>
    </font>
    <font>
      <sz val="8"/>
      <color theme="1"/>
      <name val="Calibri"/>
      <family val="2"/>
      <scheme val="minor"/>
    </font>
    <font>
      <sz val="8"/>
      <color theme="1"/>
      <name val="Cambria"/>
      <family val="1"/>
    </font>
    <font>
      <sz val="9"/>
      <color theme="0"/>
      <name val="Cambria"/>
      <family val="1"/>
    </font>
    <font>
      <b/>
      <sz val="10"/>
      <name val="Cambria"/>
      <family val="1"/>
    </font>
    <font>
      <sz val="28"/>
      <color rgb="FF00B0F0"/>
      <name val="Impact"/>
      <family val="2"/>
    </font>
    <font>
      <b/>
      <sz val="9"/>
      <color theme="1"/>
      <name val="Cambria"/>
      <family val="1"/>
    </font>
    <font>
      <sz val="8"/>
      <name val="Calibri"/>
      <family val="2"/>
      <scheme val="minor"/>
    </font>
    <font>
      <b/>
      <sz val="13"/>
      <color theme="1"/>
      <name val="Cambria"/>
      <family val="1"/>
    </font>
    <font>
      <u/>
      <sz val="10"/>
      <color theme="10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sz val="11"/>
      <name val="Cambria"/>
      <family val="1"/>
    </font>
    <font>
      <sz val="10.5"/>
      <color theme="1"/>
      <name val="Cambria"/>
      <family val="1"/>
    </font>
    <font>
      <b/>
      <sz val="10.5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/>
    </xf>
    <xf numFmtId="0" fontId="6" fillId="0" borderId="0" xfId="2"/>
    <xf numFmtId="0" fontId="7" fillId="0" borderId="0" xfId="0" applyFont="1" applyAlignment="1">
      <alignment vertical="top"/>
    </xf>
    <xf numFmtId="0" fontId="9" fillId="0" borderId="0" xfId="0" applyFont="1"/>
    <xf numFmtId="0" fontId="11" fillId="0" borderId="0" xfId="0" applyFont="1"/>
    <xf numFmtId="0" fontId="0" fillId="0" borderId="13" xfId="0" applyBorder="1"/>
    <xf numFmtId="0" fontId="0" fillId="0" borderId="13" xfId="0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15" fillId="0" borderId="0" xfId="0" applyFont="1"/>
    <xf numFmtId="0" fontId="14" fillId="0" borderId="0" xfId="0" applyFont="1"/>
    <xf numFmtId="0" fontId="8" fillId="0" borderId="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8" fillId="0" borderId="13" xfId="0" applyFont="1" applyBorder="1"/>
    <xf numFmtId="0" fontId="16" fillId="0" borderId="6" xfId="0" applyFont="1" applyBorder="1" applyAlignment="1">
      <alignment vertical="center"/>
    </xf>
    <xf numFmtId="0" fontId="8" fillId="0" borderId="7" xfId="0" applyFont="1" applyBorder="1"/>
    <xf numFmtId="0" fontId="8" fillId="0" borderId="0" xfId="0" applyFont="1"/>
    <xf numFmtId="0" fontId="16" fillId="0" borderId="8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44" fontId="10" fillId="0" borderId="12" xfId="0" applyNumberFormat="1" applyFont="1" applyBorder="1" applyAlignment="1">
      <alignment vertical="center"/>
    </xf>
    <xf numFmtId="0" fontId="14" fillId="0" borderId="7" xfId="0" applyFont="1" applyBorder="1"/>
    <xf numFmtId="0" fontId="14" fillId="0" borderId="8" xfId="0" applyFont="1" applyBorder="1"/>
    <xf numFmtId="0" fontId="0" fillId="0" borderId="8" xfId="0" applyBorder="1"/>
    <xf numFmtId="0" fontId="0" fillId="0" borderId="14" xfId="0" applyBorder="1"/>
    <xf numFmtId="0" fontId="0" fillId="0" borderId="10" xfId="0" applyBorder="1"/>
    <xf numFmtId="0" fontId="13" fillId="0" borderId="15" xfId="0" applyFont="1" applyBorder="1" applyAlignment="1">
      <alignment horizontal="left"/>
    </xf>
    <xf numFmtId="0" fontId="17" fillId="0" borderId="0" xfId="0" applyFont="1" applyAlignment="1">
      <alignment vertical="top" wrapText="1"/>
    </xf>
    <xf numFmtId="0" fontId="13" fillId="0" borderId="0" xfId="0" applyFont="1"/>
    <xf numFmtId="0" fontId="17" fillId="0" borderId="15" xfId="0" applyFont="1" applyBorder="1" applyAlignment="1">
      <alignment horizontal="left" vertical="top" wrapText="1"/>
    </xf>
    <xf numFmtId="0" fontId="18" fillId="0" borderId="0" xfId="0" applyFont="1"/>
    <xf numFmtId="0" fontId="13" fillId="0" borderId="15" xfId="0" applyFont="1" applyBorder="1" applyAlignment="1">
      <alignment horizontal="right" vertical="top"/>
    </xf>
    <xf numFmtId="0" fontId="13" fillId="0" borderId="15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7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/>
    </xf>
    <xf numFmtId="0" fontId="19" fillId="0" borderId="7" xfId="0" applyFont="1" applyBorder="1"/>
    <xf numFmtId="0" fontId="19" fillId="0" borderId="0" xfId="0" applyFont="1" applyAlignment="1">
      <alignment vertical="center"/>
    </xf>
    <xf numFmtId="0" fontId="13" fillId="0" borderId="15" xfId="0" applyFont="1" applyBorder="1" applyAlignment="1">
      <alignment horizontal="right" vertical="center"/>
    </xf>
    <xf numFmtId="0" fontId="21" fillId="0" borderId="0" xfId="0" applyFont="1"/>
    <xf numFmtId="0" fontId="13" fillId="0" borderId="7" xfId="0" applyFont="1" applyBorder="1"/>
    <xf numFmtId="0" fontId="13" fillId="0" borderId="0" xfId="0" applyFont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3" fillId="0" borderId="7" xfId="0" applyFont="1" applyBorder="1"/>
    <xf numFmtId="0" fontId="23" fillId="0" borderId="0" xfId="0" applyFont="1"/>
    <xf numFmtId="0" fontId="23" fillId="0" borderId="0" xfId="0" applyFont="1" applyAlignment="1">
      <alignment vertical="center" wrapText="1"/>
    </xf>
    <xf numFmtId="0" fontId="23" fillId="0" borderId="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6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49" fontId="11" fillId="0" borderId="7" xfId="0" applyNumberFormat="1" applyFont="1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49" fontId="11" fillId="0" borderId="7" xfId="0" applyNumberFormat="1" applyFont="1" applyBorder="1"/>
    <xf numFmtId="49" fontId="11" fillId="0" borderId="8" xfId="0" applyNumberFormat="1" applyFont="1" applyBorder="1"/>
    <xf numFmtId="0" fontId="6" fillId="0" borderId="7" xfId="2" applyBorder="1" applyAlignment="1"/>
    <xf numFmtId="0" fontId="11" fillId="0" borderId="8" xfId="0" applyFont="1" applyBorder="1"/>
    <xf numFmtId="0" fontId="12" fillId="0" borderId="9" xfId="2" applyFont="1" applyBorder="1" applyAlignment="1"/>
    <xf numFmtId="0" fontId="11" fillId="0" borderId="10" xfId="0" applyFont="1" applyBorder="1"/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10" xfId="2" applyFont="1" applyBorder="1" applyAlignment="1">
      <alignment horizontal="left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/>
    <xf numFmtId="0" fontId="11" fillId="0" borderId="4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44" fontId="11" fillId="0" borderId="4" xfId="1" applyFont="1" applyBorder="1" applyAlignment="1">
      <alignment horizontal="center" vertical="center"/>
    </xf>
    <xf numFmtId="0" fontId="11" fillId="0" borderId="7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0" fontId="22" fillId="0" borderId="9" xfId="2" applyFont="1" applyBorder="1" applyAlignment="1"/>
    <xf numFmtId="0" fontId="23" fillId="0" borderId="10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4" fontId="11" fillId="0" borderId="1" xfId="1" applyFont="1" applyBorder="1" applyAlignment="1">
      <alignment horizontal="center" vertical="center"/>
    </xf>
    <xf numFmtId="0" fontId="11" fillId="0" borderId="7" xfId="0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11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3" fillId="0" borderId="5" xfId="0" applyFont="1" applyBorder="1"/>
    <xf numFmtId="0" fontId="23" fillId="0" borderId="6" xfId="0" applyFont="1" applyBorder="1"/>
    <xf numFmtId="0" fontId="26" fillId="0" borderId="9" xfId="2" applyFont="1" applyBorder="1" applyAlignment="1"/>
    <xf numFmtId="0" fontId="26" fillId="0" borderId="10" xfId="0" applyFont="1" applyBorder="1"/>
    <xf numFmtId="0" fontId="24" fillId="0" borderId="5" xfId="0" applyFont="1" applyBorder="1"/>
    <xf numFmtId="0" fontId="24" fillId="0" borderId="6" xfId="0" applyFont="1" applyBorder="1"/>
    <xf numFmtId="49" fontId="6" fillId="0" borderId="7" xfId="2" applyNumberFormat="1" applyBorder="1"/>
    <xf numFmtId="0" fontId="6" fillId="0" borderId="9" xfId="2" applyBorder="1" applyAlignment="1"/>
    <xf numFmtId="0" fontId="27" fillId="0" borderId="7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1" Type="http://schemas.openxmlformats.org/officeDocument/2006/relationships/worksheet" Target="worksheets/sheet7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45</xdr:row>
      <xdr:rowOff>85725</xdr:rowOff>
    </xdr:from>
    <xdr:to>
      <xdr:col>1</xdr:col>
      <xdr:colOff>1000125</xdr:colOff>
      <xdr:row>51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9020175"/>
          <a:ext cx="1685925" cy="108584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45</xdr:row>
      <xdr:rowOff>9524</xdr:rowOff>
    </xdr:from>
    <xdr:to>
      <xdr:col>1</xdr:col>
      <xdr:colOff>1257300</xdr:colOff>
      <xdr:row>51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11E2C-55AD-46D7-B0FF-AF421DBDB9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20174"/>
          <a:ext cx="2038350" cy="12858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45</xdr:row>
      <xdr:rowOff>85725</xdr:rowOff>
    </xdr:from>
    <xdr:to>
      <xdr:col>1</xdr:col>
      <xdr:colOff>1000125</xdr:colOff>
      <xdr:row>51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5E319-5C98-49FC-93F2-3B3FBDE483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9048750"/>
          <a:ext cx="1685925" cy="108584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45</xdr:row>
      <xdr:rowOff>9524</xdr:rowOff>
    </xdr:from>
    <xdr:to>
      <xdr:col>1</xdr:col>
      <xdr:colOff>1257300</xdr:colOff>
      <xdr:row>51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4DD5C-5B48-41D0-97CF-9D4C1FD67A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8972549"/>
          <a:ext cx="2019300" cy="12858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44</xdr:row>
      <xdr:rowOff>9524</xdr:rowOff>
    </xdr:from>
    <xdr:to>
      <xdr:col>1</xdr:col>
      <xdr:colOff>1257300</xdr:colOff>
      <xdr:row>50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E3960-C0EA-4260-838F-4A8E63FCAC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8972549"/>
          <a:ext cx="2019300" cy="12858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45</xdr:row>
      <xdr:rowOff>9524</xdr:rowOff>
    </xdr:from>
    <xdr:to>
      <xdr:col>1</xdr:col>
      <xdr:colOff>1257300</xdr:colOff>
      <xdr:row>51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11E2C-55AD-46D7-B0FF-AF421DBDB9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20174"/>
          <a:ext cx="2038350" cy="12858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180975</xdr:colOff>
      <xdr:row>52</xdr:row>
      <xdr:rowOff>0</xdr:rowOff>
    </xdr:from>
    <xdr:ext cx="7143750" cy="10106025"/>
    <xdr:pic>
      <xdr:nvPicPr>
        <xdr:cNvPr id="3" name="Chamol Quotation QN261012F0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43750" cy="10106025"/>
        </a:xfrm>
        <a:prstGeom prst="rect">
          <a:avLst/>
        </a:prstGeom>
        <a:ln w="6350">
          <a:solidFill>
            <a:srgbClr val="BFBFBF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rotechens.com" TargetMode="External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services@cmp-products.com" TargetMode="External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cmp-product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6.vml"/><Relationship Id="rId4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2"/>
  <sheetViews>
    <sheetView view="pageBreakPreview" zoomScaleSheetLayoutView="100" workbookViewId="0">
      <selection activeCell="I9" sqref="I9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2.57031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1">
        <v>1381170</v>
      </c>
      <c r="G3" s="39"/>
    </row>
    <row r="4" spans="1:7" ht="12.75" customHeight="1" thickBot="1" x14ac:dyDescent="0.3">
      <c r="E4" s="44" t="s">
        <v>48</v>
      </c>
      <c r="F4" s="38" t="s">
        <v>49</v>
      </c>
      <c r="G4" s="40"/>
    </row>
    <row r="5" spans="1:7" x14ac:dyDescent="0.25">
      <c r="A5" s="7"/>
    </row>
    <row r="6" spans="1:7" s="11" customFormat="1" ht="15.75" x14ac:dyDescent="0.25">
      <c r="A6" s="11" t="s">
        <v>38</v>
      </c>
      <c r="E6" s="11" t="s">
        <v>39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40</v>
      </c>
      <c r="F10" s="85"/>
    </row>
    <row r="11" spans="1:7" s="12" customFormat="1" ht="14.25" x14ac:dyDescent="0.2">
      <c r="A11" s="69" t="s">
        <v>7</v>
      </c>
      <c r="B11" s="70"/>
      <c r="E11" s="86" t="s">
        <v>41</v>
      </c>
      <c r="F11" s="78"/>
    </row>
    <row r="12" spans="1:7" s="12" customFormat="1" ht="14.25" x14ac:dyDescent="0.2">
      <c r="A12" s="69" t="s">
        <v>8</v>
      </c>
      <c r="B12" s="70"/>
      <c r="E12" s="86" t="s">
        <v>42</v>
      </c>
      <c r="F12" s="78"/>
    </row>
    <row r="13" spans="1:7" s="12" customFormat="1" ht="14.25" x14ac:dyDescent="0.2">
      <c r="A13" s="69" t="s">
        <v>9</v>
      </c>
      <c r="B13" s="70"/>
      <c r="E13" s="75" t="s">
        <v>44</v>
      </c>
      <c r="F13" s="76"/>
    </row>
    <row r="14" spans="1:7" s="12" customFormat="1" x14ac:dyDescent="0.25">
      <c r="A14" s="69" t="s">
        <v>11</v>
      </c>
      <c r="B14" s="70"/>
      <c r="E14" s="77" t="s">
        <v>43</v>
      </c>
      <c r="F14" s="78"/>
    </row>
    <row r="15" spans="1:7" s="12" customFormat="1" ht="14.25" x14ac:dyDescent="0.2">
      <c r="A15" s="89" t="s">
        <v>10</v>
      </c>
      <c r="B15" s="90"/>
      <c r="E15" s="79"/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x14ac:dyDescent="0.25">
      <c r="A20" s="97" t="s">
        <v>35</v>
      </c>
      <c r="B20" s="98"/>
      <c r="C20" s="98"/>
      <c r="D20" s="98"/>
      <c r="E20" s="98"/>
      <c r="F20" s="98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45</v>
      </c>
      <c r="C23" s="114">
        <v>1</v>
      </c>
      <c r="D23" s="115"/>
      <c r="E23" s="100" t="s">
        <v>34</v>
      </c>
      <c r="F23" s="108">
        <v>48500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48500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20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20" t="s">
        <v>12</v>
      </c>
      <c r="B42" s="21"/>
      <c r="C42" s="22"/>
      <c r="D42" s="23"/>
      <c r="E42" s="21" t="s">
        <v>18</v>
      </c>
      <c r="F42" s="24"/>
    </row>
    <row r="43" spans="1:6" ht="12.75" customHeight="1" x14ac:dyDescent="0.25">
      <c r="A43" s="25" t="s">
        <v>36</v>
      </c>
      <c r="B43" s="26"/>
      <c r="C43" s="5"/>
      <c r="D43" s="26"/>
      <c r="E43" s="26" t="s">
        <v>37</v>
      </c>
      <c r="F43" s="27"/>
    </row>
    <row r="44" spans="1:6" ht="16.5" customHeight="1" x14ac:dyDescent="0.25">
      <c r="A44" s="25" t="s">
        <v>14</v>
      </c>
      <c r="B44" s="28"/>
      <c r="C44" s="5"/>
      <c r="D44" s="29"/>
      <c r="E44" s="30" t="s">
        <v>46</v>
      </c>
      <c r="F44" s="27"/>
    </row>
    <row r="45" spans="1:6" ht="15" customHeight="1" x14ac:dyDescent="0.25">
      <c r="A45" s="81" t="s">
        <v>13</v>
      </c>
      <c r="B45" s="81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37">
    <mergeCell ref="D45:E45"/>
    <mergeCell ref="E17:F17"/>
    <mergeCell ref="E18:F18"/>
    <mergeCell ref="A20:F20"/>
    <mergeCell ref="A29:B29"/>
    <mergeCell ref="A23:A26"/>
    <mergeCell ref="B23:B26"/>
    <mergeCell ref="E23:E26"/>
    <mergeCell ref="F23:F26"/>
    <mergeCell ref="A31:B31"/>
    <mergeCell ref="A32:B32"/>
    <mergeCell ref="A40:B40"/>
    <mergeCell ref="A34:B34"/>
    <mergeCell ref="C23:D26"/>
    <mergeCell ref="A35:B35"/>
    <mergeCell ref="A36:B36"/>
    <mergeCell ref="E13:F13"/>
    <mergeCell ref="E14:F14"/>
    <mergeCell ref="E15:F15"/>
    <mergeCell ref="A45:B45"/>
    <mergeCell ref="A9:B9"/>
    <mergeCell ref="E9:F9"/>
    <mergeCell ref="E10:F10"/>
    <mergeCell ref="E11:F11"/>
    <mergeCell ref="E12:F12"/>
    <mergeCell ref="A10:B10"/>
    <mergeCell ref="A11:B11"/>
    <mergeCell ref="A12:B12"/>
    <mergeCell ref="A13:B13"/>
    <mergeCell ref="A14:B14"/>
    <mergeCell ref="A15:B15"/>
    <mergeCell ref="C22:D22"/>
    <mergeCell ref="A37:B37"/>
    <mergeCell ref="A38:B38"/>
    <mergeCell ref="A39:B39"/>
    <mergeCell ref="A33:B33"/>
    <mergeCell ref="A30:B30"/>
  </mergeCells>
  <hyperlinks>
    <hyperlink ref="A15" r:id="rId1" display="mailto:woodlite18@gmail.com" xr:uid="{00000000-0004-0000-0000-000000000000}"/>
    <hyperlink ref="A40" r:id="rId2" xr:uid="{00000000-0004-0000-0000-000001000000}"/>
    <hyperlink ref="E14" r:id="rId3" xr:uid="{00000000-0004-0000-0000-000002000000}"/>
  </hyperlinks>
  <pageMargins left="0.7" right="0.7" top="1.1299999999999999" bottom="0.75" header="0.35" footer="0.3"/>
  <pageSetup scale="83" orientation="portrait" r:id="rId4"/>
  <headerFooter>
    <oddHeader>&amp;L&amp;G</oddHeader>
    <oddFooter>&amp;C&amp;"Cambria,Regular"&amp;10&amp;KFF0000KM16 East West Road, Port Harcourt Rivers State; Tel: +234- 8035484914, E-mail: woodlite18@gmail.com</oddFooter>
  </headerFooter>
  <drawing r:id="rId5"/>
  <legacyDrawingHF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64D3-7562-4AAF-A12B-3BD12B56F9C8}">
  <dimension ref="A2:G51"/>
  <sheetViews>
    <sheetView view="pageBreakPreview" topLeftCell="A19" zoomScaleSheetLayoutView="100" workbookViewId="0">
      <selection activeCell="H30" sqref="H30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2.57031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11" t="s">
        <v>104</v>
      </c>
      <c r="E6" s="11" t="s">
        <v>101</v>
      </c>
      <c r="F6" s="11"/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94</v>
      </c>
      <c r="F10" s="85"/>
    </row>
    <row r="11" spans="1:7" s="12" customFormat="1" ht="14.25" x14ac:dyDescent="0.2">
      <c r="A11" s="69" t="s">
        <v>7</v>
      </c>
      <c r="B11" s="70"/>
      <c r="E11" s="86" t="s">
        <v>95</v>
      </c>
      <c r="F11" s="78"/>
    </row>
    <row r="12" spans="1:7" s="12" customFormat="1" ht="14.25" x14ac:dyDescent="0.2">
      <c r="A12" s="69" t="s">
        <v>8</v>
      </c>
      <c r="B12" s="70"/>
      <c r="E12" s="86" t="s">
        <v>96</v>
      </c>
      <c r="F12" s="78"/>
    </row>
    <row r="13" spans="1:7" s="12" customFormat="1" ht="14.25" x14ac:dyDescent="0.2">
      <c r="A13" s="69" t="s">
        <v>9</v>
      </c>
      <c r="B13" s="70"/>
      <c r="E13" s="75" t="s">
        <v>97</v>
      </c>
      <c r="F13" s="76"/>
    </row>
    <row r="14" spans="1:7" s="12" customFormat="1" x14ac:dyDescent="0.25">
      <c r="A14" s="69" t="s">
        <v>11</v>
      </c>
      <c r="B14" s="70"/>
      <c r="E14" s="142" t="s">
        <v>98</v>
      </c>
      <c r="F14" s="76"/>
    </row>
    <row r="15" spans="1:7" s="12" customFormat="1" x14ac:dyDescent="0.25">
      <c r="A15" s="89" t="s">
        <v>10</v>
      </c>
      <c r="B15" s="90"/>
      <c r="E15" s="143" t="s">
        <v>99</v>
      </c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6.5" x14ac:dyDescent="0.25">
      <c r="A20" s="152" t="s">
        <v>100</v>
      </c>
      <c r="B20" s="152"/>
      <c r="C20" s="152"/>
      <c r="D20" s="152"/>
      <c r="E20" s="152"/>
      <c r="F20" s="152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102</v>
      </c>
      <c r="C23" s="114">
        <v>1</v>
      </c>
      <c r="D23" s="115"/>
      <c r="E23" s="100" t="s">
        <v>34</v>
      </c>
      <c r="F23" s="108">
        <v>2028.68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2028.68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7.25" customHeight="1" x14ac:dyDescent="0.25">
      <c r="A30" s="121" t="s">
        <v>19</v>
      </c>
      <c r="B30" s="122"/>
      <c r="C30" s="6"/>
      <c r="E30" s="17" t="s">
        <v>22</v>
      </c>
      <c r="F30" s="10"/>
    </row>
    <row r="31" spans="1:6" ht="30" customHeight="1" x14ac:dyDescent="0.25">
      <c r="A31" s="123" t="s">
        <v>103</v>
      </c>
      <c r="B31" s="124"/>
      <c r="C31" s="6"/>
      <c r="D31" s="10"/>
      <c r="E31" s="10"/>
      <c r="F31" s="10"/>
    </row>
    <row r="32" spans="1:6" x14ac:dyDescent="0.25">
      <c r="A32" s="69" t="s">
        <v>21</v>
      </c>
      <c r="B32" s="70"/>
      <c r="C32" s="6"/>
      <c r="D32" s="10"/>
      <c r="E32" s="10"/>
      <c r="F32" s="10"/>
    </row>
    <row r="33" spans="1:6" x14ac:dyDescent="0.25">
      <c r="A33" s="112"/>
      <c r="B33" s="113"/>
      <c r="C33" s="6"/>
      <c r="D33" s="10"/>
      <c r="E33" s="10"/>
      <c r="F33" s="10"/>
    </row>
    <row r="34" spans="1:6" x14ac:dyDescent="0.25">
      <c r="A34" s="69" t="s">
        <v>27</v>
      </c>
      <c r="B34" s="70"/>
      <c r="C34" s="6"/>
      <c r="D34" s="10"/>
      <c r="E34" s="16"/>
      <c r="F34" s="16"/>
    </row>
    <row r="35" spans="1:6" x14ac:dyDescent="0.25">
      <c r="A35" s="69" t="s">
        <v>23</v>
      </c>
      <c r="B35" s="70"/>
      <c r="C35" s="6"/>
      <c r="D35" s="10"/>
      <c r="E35" s="16"/>
      <c r="F35" s="16"/>
    </row>
    <row r="36" spans="1:6" x14ac:dyDescent="0.25">
      <c r="A36" s="69" t="s">
        <v>24</v>
      </c>
      <c r="B36" s="70"/>
      <c r="C36" s="6"/>
      <c r="D36" s="10"/>
      <c r="E36" s="16"/>
      <c r="F36" s="16"/>
    </row>
    <row r="37" spans="1:6" x14ac:dyDescent="0.25">
      <c r="A37" s="69" t="s">
        <v>25</v>
      </c>
      <c r="B37" s="70"/>
      <c r="C37" s="6"/>
      <c r="D37" s="10"/>
      <c r="E37" s="16"/>
      <c r="F37" s="16"/>
    </row>
    <row r="38" spans="1:6" x14ac:dyDescent="0.25">
      <c r="A38" s="71" t="s">
        <v>26</v>
      </c>
      <c r="B38" s="72"/>
      <c r="C38" s="6"/>
      <c r="D38" s="10"/>
      <c r="E38" s="16"/>
      <c r="F38" s="16"/>
    </row>
    <row r="39" spans="1:6" x14ac:dyDescent="0.25">
      <c r="A39" s="89" t="s">
        <v>10</v>
      </c>
      <c r="B39" s="111"/>
      <c r="C39" s="6"/>
      <c r="D39" s="10"/>
      <c r="E39" s="16"/>
      <c r="F39" s="16"/>
    </row>
    <row r="40" spans="1:6" x14ac:dyDescent="0.25">
      <c r="B40" s="6"/>
      <c r="C40" s="6"/>
      <c r="D40" s="10"/>
      <c r="E40" s="10"/>
      <c r="F40" s="10"/>
    </row>
    <row r="41" spans="1:6" s="64" customFormat="1" ht="17.25" customHeight="1" x14ac:dyDescent="0.25">
      <c r="A41" s="65" t="s">
        <v>12</v>
      </c>
      <c r="B41" s="66"/>
      <c r="C41" s="22"/>
      <c r="D41" s="21"/>
      <c r="E41" s="66" t="s">
        <v>18</v>
      </c>
      <c r="F41" s="24"/>
    </row>
    <row r="42" spans="1:6" s="64" customFormat="1" ht="12.75" customHeight="1" x14ac:dyDescent="0.25">
      <c r="A42" s="144" t="str">
        <f>A6</f>
        <v>DATE: 06-10-2025</v>
      </c>
      <c r="B42" s="145"/>
      <c r="C42" s="62"/>
      <c r="D42" s="30"/>
      <c r="E42" s="145" t="str">
        <f>A42</f>
        <v>DATE: 06-10-2025</v>
      </c>
      <c r="F42" s="63"/>
    </row>
    <row r="43" spans="1:6" s="64" customFormat="1" ht="16.5" customHeight="1" x14ac:dyDescent="0.25">
      <c r="A43" s="146" t="s">
        <v>50</v>
      </c>
      <c r="B43" s="67"/>
      <c r="C43" s="62"/>
      <c r="D43" s="147"/>
      <c r="E43" s="68" t="s">
        <v>94</v>
      </c>
      <c r="F43" s="63"/>
    </row>
    <row r="44" spans="1:6" s="64" customFormat="1" ht="15" customHeight="1" x14ac:dyDescent="0.25">
      <c r="A44" s="148" t="s">
        <v>13</v>
      </c>
      <c r="B44" s="148"/>
      <c r="C44" s="149"/>
      <c r="D44" s="150"/>
      <c r="E44" s="150"/>
      <c r="F44" s="151"/>
    </row>
    <row r="45" spans="1:6" x14ac:dyDescent="0.25">
      <c r="A45" s="33"/>
      <c r="B45" s="19"/>
      <c r="C45" s="19"/>
      <c r="D45" s="19"/>
      <c r="E45" s="19"/>
      <c r="F45" s="34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"/>
      <c r="F47" s="35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4"/>
      <c r="B51" s="36"/>
      <c r="C51" s="36"/>
      <c r="D51" s="36"/>
      <c r="E51" s="36"/>
      <c r="F51" s="37"/>
    </row>
  </sheetData>
  <mergeCells count="36">
    <mergeCell ref="D44:E44"/>
    <mergeCell ref="A35:B35"/>
    <mergeCell ref="A36:B36"/>
    <mergeCell ref="A37:B37"/>
    <mergeCell ref="A38:B38"/>
    <mergeCell ref="A39:B39"/>
    <mergeCell ref="A44:B44"/>
    <mergeCell ref="A34:B34"/>
    <mergeCell ref="A23:A26"/>
    <mergeCell ref="B23:B26"/>
    <mergeCell ref="C23:D26"/>
    <mergeCell ref="E23:E26"/>
    <mergeCell ref="A30:B30"/>
    <mergeCell ref="A33:B33"/>
    <mergeCell ref="A32:B32"/>
    <mergeCell ref="A31:B31"/>
    <mergeCell ref="F23:F26"/>
    <mergeCell ref="A29:B29"/>
    <mergeCell ref="A15:B15"/>
    <mergeCell ref="E15:F15"/>
    <mergeCell ref="E17:F17"/>
    <mergeCell ref="E18:F18"/>
    <mergeCell ref="A20:F20"/>
    <mergeCell ref="C22:D22"/>
    <mergeCell ref="A12:B12"/>
    <mergeCell ref="E12:F12"/>
    <mergeCell ref="A13:B13"/>
    <mergeCell ref="E13:F13"/>
    <mergeCell ref="A14:B14"/>
    <mergeCell ref="E14:F14"/>
    <mergeCell ref="A9:B9"/>
    <mergeCell ref="E9:F9"/>
    <mergeCell ref="A10:B10"/>
    <mergeCell ref="E10:F10"/>
    <mergeCell ref="A11:B11"/>
    <mergeCell ref="E11:F11"/>
  </mergeCells>
  <phoneticPr fontId="20" type="noConversion"/>
  <hyperlinks>
    <hyperlink ref="A15" r:id="rId1" display="mailto:woodlite18@gmail.com" xr:uid="{62BAAA2A-C9C4-4925-B99F-698F43E3499B}"/>
    <hyperlink ref="A39" r:id="rId2" xr:uid="{2101025F-31D0-4F58-9BD2-F5C14592EBA5}"/>
    <hyperlink ref="E14" r:id="rId3" xr:uid="{4B13E05B-0FC3-4333-93AC-FB75D8C2A085}"/>
    <hyperlink ref="E15" r:id="rId4" xr:uid="{B00FB004-2BE2-4EB4-9B4D-D61D7DDA4DD3}"/>
  </hyperlinks>
  <pageMargins left="0.7" right="0.7" top="1.1299999999999999" bottom="0.75" header="0.35" footer="0.3"/>
  <pageSetup scale="83" orientation="portrait" r:id="rId5"/>
  <headerFooter>
    <oddHeader>&amp;L&amp;G</oddHeader>
    <oddFooter>&amp;C&amp;"Cambria,Regular"&amp;10&amp;KFF0000KM16 East West Road, Port Harcourt Rivers State; Tel: +234- 8035484914, E-mail: woodlite18@gmail.com</oddFooter>
  </headerFooter>
  <legacyDrawingHF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DEDB-85CC-446A-A826-1069EA118E78}">
  <dimension ref="A2:G52"/>
  <sheetViews>
    <sheetView view="pageBreakPreview" zoomScaleSheetLayoutView="100" workbookViewId="0">
      <selection activeCell="G10" sqref="G10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83</v>
      </c>
      <c r="E6" s="52" t="s">
        <v>82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84</v>
      </c>
      <c r="F10" s="85"/>
    </row>
    <row r="11" spans="1:7" s="12" customFormat="1" ht="14.25" x14ac:dyDescent="0.2">
      <c r="A11" s="69" t="s">
        <v>7</v>
      </c>
      <c r="B11" s="70"/>
      <c r="E11" s="86" t="s">
        <v>85</v>
      </c>
      <c r="F11" s="78"/>
    </row>
    <row r="12" spans="1:7" s="12" customFormat="1" ht="14.25" x14ac:dyDescent="0.2">
      <c r="A12" s="69" t="s">
        <v>8</v>
      </c>
      <c r="B12" s="70"/>
      <c r="E12" s="131" t="s">
        <v>86</v>
      </c>
      <c r="F12" s="78"/>
    </row>
    <row r="13" spans="1:7" s="12" customFormat="1" ht="14.25" x14ac:dyDescent="0.2">
      <c r="A13" s="69" t="s">
        <v>9</v>
      </c>
      <c r="B13" s="70"/>
      <c r="E13" s="75" t="s">
        <v>87</v>
      </c>
      <c r="F13" s="76"/>
    </row>
    <row r="14" spans="1:7" s="12" customFormat="1" ht="14.25" x14ac:dyDescent="0.2">
      <c r="A14" s="69" t="s">
        <v>11</v>
      </c>
      <c r="B14" s="70"/>
      <c r="E14" s="75" t="s">
        <v>88</v>
      </c>
      <c r="F14" s="76"/>
    </row>
    <row r="15" spans="1:7" s="12" customFormat="1" ht="14.25" x14ac:dyDescent="0.2">
      <c r="A15" s="89" t="s">
        <v>10</v>
      </c>
      <c r="B15" s="90"/>
      <c r="E15" s="126"/>
      <c r="F15" s="127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9.5" customHeight="1" x14ac:dyDescent="0.25">
      <c r="A20" s="120" t="s">
        <v>92</v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28">
        <v>1</v>
      </c>
      <c r="B23" s="129" t="s">
        <v>89</v>
      </c>
      <c r="C23" s="129">
        <v>1</v>
      </c>
      <c r="D23" s="129"/>
      <c r="E23" s="128" t="s">
        <v>34</v>
      </c>
      <c r="F23" s="130">
        <v>450000</v>
      </c>
    </row>
    <row r="24" spans="1:6" x14ac:dyDescent="0.25">
      <c r="A24" s="128"/>
      <c r="B24" s="129"/>
      <c r="C24" s="129"/>
      <c r="D24" s="129"/>
      <c r="E24" s="128"/>
      <c r="F24" s="130"/>
    </row>
    <row r="25" spans="1:6" x14ac:dyDescent="0.25">
      <c r="A25" s="128">
        <v>2</v>
      </c>
      <c r="B25" s="129" t="s">
        <v>90</v>
      </c>
      <c r="C25" s="128">
        <v>1</v>
      </c>
      <c r="D25" s="128"/>
      <c r="E25" s="128" t="s">
        <v>34</v>
      </c>
      <c r="F25" s="130">
        <v>170000</v>
      </c>
    </row>
    <row r="26" spans="1:6" x14ac:dyDescent="0.25">
      <c r="A26" s="128"/>
      <c r="B26" s="129"/>
      <c r="C26" s="128"/>
      <c r="D26" s="128"/>
      <c r="E26" s="128"/>
      <c r="F26" s="130"/>
    </row>
    <row r="27" spans="1:6" ht="25.5" customHeight="1" x14ac:dyDescent="0.25">
      <c r="A27" s="6"/>
      <c r="E27" s="31" t="s">
        <v>33</v>
      </c>
      <c r="F27" s="32">
        <f>SUM(F23:F26)</f>
        <v>620000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51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56" t="s">
        <v>12</v>
      </c>
      <c r="B42" s="55"/>
      <c r="C42" s="22"/>
      <c r="D42" s="23"/>
      <c r="E42" s="55" t="s">
        <v>18</v>
      </c>
      <c r="F42" s="24"/>
    </row>
    <row r="43" spans="1:6" s="64" customFormat="1" ht="16.5" customHeight="1" x14ac:dyDescent="0.25">
      <c r="A43" s="60" t="str">
        <f>A6</f>
        <v>DATE: 16-05-2025</v>
      </c>
      <c r="B43" s="61"/>
      <c r="C43" s="62"/>
      <c r="D43" s="30"/>
      <c r="E43" s="61" t="str">
        <f>A43</f>
        <v>DATE: 16-05-2025</v>
      </c>
      <c r="F43" s="63"/>
    </row>
    <row r="44" spans="1:6" ht="16.5" customHeight="1" x14ac:dyDescent="0.25">
      <c r="A44" s="53" t="s">
        <v>50</v>
      </c>
      <c r="B44" s="59"/>
      <c r="C44" s="5"/>
      <c r="D44" s="29"/>
      <c r="E44" s="54" t="s">
        <v>91</v>
      </c>
      <c r="F44" s="27"/>
    </row>
    <row r="45" spans="1:6" ht="15" customHeight="1" x14ac:dyDescent="0.25">
      <c r="A45" s="125" t="s">
        <v>13</v>
      </c>
      <c r="B45" s="125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42">
    <mergeCell ref="F25:F26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29:B29"/>
    <mergeCell ref="A15:B15"/>
    <mergeCell ref="E15:F15"/>
    <mergeCell ref="E17:F17"/>
    <mergeCell ref="E18:F18"/>
    <mergeCell ref="A20:F20"/>
    <mergeCell ref="C22:D22"/>
    <mergeCell ref="A23:A24"/>
    <mergeCell ref="B23:B24"/>
    <mergeCell ref="C23:D24"/>
    <mergeCell ref="E23:E24"/>
    <mergeCell ref="F23:F24"/>
    <mergeCell ref="A25:A26"/>
    <mergeCell ref="B25:B26"/>
    <mergeCell ref="C25:D26"/>
    <mergeCell ref="E25:E26"/>
    <mergeCell ref="A35:B35"/>
    <mergeCell ref="A30:B30"/>
    <mergeCell ref="A31:B31"/>
    <mergeCell ref="A32:B32"/>
    <mergeCell ref="A33:B33"/>
    <mergeCell ref="A34:B34"/>
    <mergeCell ref="D45:E45"/>
    <mergeCell ref="A36:B36"/>
    <mergeCell ref="A37:B37"/>
    <mergeCell ref="A38:B38"/>
    <mergeCell ref="A39:B39"/>
    <mergeCell ref="A40:B40"/>
    <mergeCell ref="A45:B45"/>
  </mergeCells>
  <hyperlinks>
    <hyperlink ref="A15" r:id="rId1" display="mailto:woodlite18@gmail.com" xr:uid="{CA486652-11A4-4707-808B-E4FC1E0F23FF}"/>
    <hyperlink ref="A40" r:id="rId2" xr:uid="{C9B70A43-B617-4F8A-A610-7EA372DA50C0}"/>
  </hyperlinks>
  <pageMargins left="0.7" right="0.7" top="1.1299999999999999" bottom="0.75" header="0.35" footer="0.3"/>
  <pageSetup scale="83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71-2D79-4AB6-9B68-4E58029F6E12}">
  <dimension ref="A2:G52"/>
  <sheetViews>
    <sheetView view="pageBreakPreview" topLeftCell="A7" zoomScaleSheetLayoutView="100" workbookViewId="0">
      <selection activeCell="L19" sqref="L19"/>
    </sheetView>
  </sheetViews>
  <sheetFormatPr defaultRowHeight="15" x14ac:dyDescent="0.25"/>
  <cols>
    <col min="1" max="1" width="12" customWidth="1"/>
    <col min="2" max="2" width="30.140625" customWidth="1"/>
    <col min="3" max="3" width="13.42578125" customWidth="1"/>
    <col min="4" max="4" width="14.7109375" customWidth="1"/>
    <col min="5" max="5" width="12.5703125" customWidth="1"/>
    <col min="6" max="6" width="25.570312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58</v>
      </c>
      <c r="E6" s="52" t="s">
        <v>60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52</v>
      </c>
      <c r="F10" s="85"/>
    </row>
    <row r="11" spans="1:7" s="12" customFormat="1" ht="14.25" x14ac:dyDescent="0.2">
      <c r="A11" s="69" t="s">
        <v>7</v>
      </c>
      <c r="B11" s="70"/>
      <c r="E11" s="86" t="s">
        <v>53</v>
      </c>
      <c r="F11" s="78"/>
    </row>
    <row r="12" spans="1:7" s="12" customFormat="1" ht="14.25" x14ac:dyDescent="0.2">
      <c r="A12" s="69" t="s">
        <v>8</v>
      </c>
      <c r="B12" s="70"/>
      <c r="E12" s="86" t="s">
        <v>54</v>
      </c>
      <c r="F12" s="78"/>
    </row>
    <row r="13" spans="1:7" s="12" customFormat="1" ht="14.25" x14ac:dyDescent="0.2">
      <c r="A13" s="69" t="s">
        <v>9</v>
      </c>
      <c r="B13" s="70"/>
      <c r="E13" s="75" t="s">
        <v>55</v>
      </c>
      <c r="F13" s="76"/>
    </row>
    <row r="14" spans="1:7" s="12" customFormat="1" ht="14.25" x14ac:dyDescent="0.2">
      <c r="A14" s="69" t="s">
        <v>11</v>
      </c>
      <c r="B14" s="70"/>
      <c r="E14" s="75" t="s">
        <v>56</v>
      </c>
      <c r="F14" s="76"/>
    </row>
    <row r="15" spans="1:7" s="12" customFormat="1" ht="14.25" x14ac:dyDescent="0.2">
      <c r="A15" s="89" t="s">
        <v>10</v>
      </c>
      <c r="B15" s="90"/>
      <c r="E15" s="79" t="s">
        <v>57</v>
      </c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8" x14ac:dyDescent="0.25">
      <c r="A20" s="132" t="s">
        <v>62</v>
      </c>
      <c r="B20" s="132"/>
      <c r="C20" s="132"/>
      <c r="D20" s="132"/>
      <c r="E20" s="132"/>
      <c r="F20" s="132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33" t="s">
        <v>61</v>
      </c>
      <c r="C23" s="114">
        <v>1</v>
      </c>
      <c r="D23" s="115"/>
      <c r="E23" s="100" t="s">
        <v>34</v>
      </c>
      <c r="F23" s="108">
        <v>39313.22</v>
      </c>
    </row>
    <row r="24" spans="1:6" x14ac:dyDescent="0.25">
      <c r="A24" s="101"/>
      <c r="B24" s="134"/>
      <c r="C24" s="116"/>
      <c r="D24" s="117"/>
      <c r="E24" s="106"/>
      <c r="F24" s="101"/>
    </row>
    <row r="25" spans="1:6" x14ac:dyDescent="0.25">
      <c r="A25" s="101"/>
      <c r="B25" s="134"/>
      <c r="C25" s="116"/>
      <c r="D25" s="117"/>
      <c r="E25" s="106"/>
      <c r="F25" s="101"/>
    </row>
    <row r="26" spans="1:6" ht="22.5" customHeight="1" x14ac:dyDescent="0.25">
      <c r="A26" s="102"/>
      <c r="B26" s="13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39313.22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59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20" t="s">
        <v>12</v>
      </c>
      <c r="B42" s="21"/>
      <c r="C42" s="22"/>
      <c r="D42" s="23"/>
      <c r="E42" s="21" t="s">
        <v>18</v>
      </c>
      <c r="F42" s="24"/>
    </row>
    <row r="43" spans="1:6" ht="12.75" customHeight="1" x14ac:dyDescent="0.25">
      <c r="A43" s="25" t="str">
        <f>A6</f>
        <v>DATE: 25-02-2025</v>
      </c>
      <c r="B43" s="26"/>
      <c r="C43" s="5"/>
      <c r="D43" s="26"/>
      <c r="E43" s="26" t="str">
        <f>A43</f>
        <v>DATE: 25-02-2025</v>
      </c>
      <c r="F43" s="27"/>
    </row>
    <row r="44" spans="1:6" ht="16.5" customHeight="1" x14ac:dyDescent="0.25">
      <c r="A44" s="49" t="s">
        <v>50</v>
      </c>
      <c r="B44" s="28"/>
      <c r="C44" s="5"/>
      <c r="D44" s="29"/>
      <c r="E44" s="50" t="s">
        <v>52</v>
      </c>
      <c r="F44" s="27"/>
    </row>
    <row r="45" spans="1:6" ht="15" customHeight="1" x14ac:dyDescent="0.25">
      <c r="A45" s="81" t="s">
        <v>13</v>
      </c>
      <c r="B45" s="81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37">
    <mergeCell ref="D45:E45"/>
    <mergeCell ref="A36:B36"/>
    <mergeCell ref="A37:B37"/>
    <mergeCell ref="A38:B38"/>
    <mergeCell ref="A39:B39"/>
    <mergeCell ref="A40:B40"/>
    <mergeCell ref="A45:B45"/>
    <mergeCell ref="A35:B35"/>
    <mergeCell ref="A23:A26"/>
    <mergeCell ref="B23:B26"/>
    <mergeCell ref="C23:D26"/>
    <mergeCell ref="E23:E26"/>
    <mergeCell ref="A30:B30"/>
    <mergeCell ref="A31:B31"/>
    <mergeCell ref="A32:B32"/>
    <mergeCell ref="A33:B33"/>
    <mergeCell ref="A34:B34"/>
    <mergeCell ref="F23:F26"/>
    <mergeCell ref="A29:B29"/>
    <mergeCell ref="A15:B15"/>
    <mergeCell ref="E15:F15"/>
    <mergeCell ref="E17:F17"/>
    <mergeCell ref="E18:F18"/>
    <mergeCell ref="A20:F20"/>
    <mergeCell ref="C22:D22"/>
    <mergeCell ref="A12:B12"/>
    <mergeCell ref="E12:F12"/>
    <mergeCell ref="A13:B13"/>
    <mergeCell ref="E13:F13"/>
    <mergeCell ref="A14:B14"/>
    <mergeCell ref="E14:F14"/>
    <mergeCell ref="A9:B9"/>
    <mergeCell ref="E9:F9"/>
    <mergeCell ref="A10:B10"/>
    <mergeCell ref="E10:F10"/>
    <mergeCell ref="A11:B11"/>
    <mergeCell ref="E11:F11"/>
  </mergeCells>
  <hyperlinks>
    <hyperlink ref="A15" r:id="rId1" display="mailto:woodlite18@gmail.com" xr:uid="{A06A0A69-924F-472E-B505-492D7AC82FFC}"/>
    <hyperlink ref="A40" r:id="rId2" xr:uid="{EF64874F-FA73-4217-B6A6-60CF718F7513}"/>
  </hyperlinks>
  <pageMargins left="0.7" right="0.7" top="1.1299999999999999" bottom="0.75" header="0.35" footer="0.3"/>
  <pageSetup scale="82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2745-1AAD-47BE-B605-024C0DF34AFA}">
  <dimension ref="A2:G52"/>
  <sheetViews>
    <sheetView view="pageBreakPreview" zoomScaleSheetLayoutView="100" workbookViewId="0">
      <selection activeCell="H12" sqref="H12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93</v>
      </c>
      <c r="E6" s="52" t="s">
        <v>72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136" t="s">
        <v>71</v>
      </c>
      <c r="F10" s="137"/>
    </row>
    <row r="11" spans="1:7" s="12" customFormat="1" ht="14.25" x14ac:dyDescent="0.2">
      <c r="A11" s="69" t="s">
        <v>7</v>
      </c>
      <c r="B11" s="70"/>
      <c r="E11" s="86" t="s">
        <v>66</v>
      </c>
      <c r="F11" s="78"/>
    </row>
    <row r="12" spans="1:7" s="12" customFormat="1" ht="14.25" x14ac:dyDescent="0.2">
      <c r="A12" s="69" t="s">
        <v>8</v>
      </c>
      <c r="B12" s="70"/>
      <c r="E12" s="86" t="s">
        <v>67</v>
      </c>
      <c r="F12" s="78"/>
    </row>
    <row r="13" spans="1:7" s="12" customFormat="1" ht="14.25" x14ac:dyDescent="0.2">
      <c r="A13" s="69" t="s">
        <v>9</v>
      </c>
      <c r="B13" s="70"/>
      <c r="E13" s="75" t="s">
        <v>68</v>
      </c>
      <c r="F13" s="76"/>
    </row>
    <row r="14" spans="1:7" s="12" customFormat="1" ht="14.25" x14ac:dyDescent="0.2">
      <c r="A14" s="69" t="s">
        <v>11</v>
      </c>
      <c r="B14" s="70"/>
      <c r="E14" s="75" t="s">
        <v>69</v>
      </c>
      <c r="F14" s="76"/>
    </row>
    <row r="15" spans="1:7" s="12" customFormat="1" ht="14.25" x14ac:dyDescent="0.2">
      <c r="A15" s="89" t="s">
        <v>10</v>
      </c>
      <c r="B15" s="90"/>
      <c r="E15" s="79" t="s">
        <v>70</v>
      </c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5.75" x14ac:dyDescent="0.25">
      <c r="A20" s="120" t="s">
        <v>65</v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64</v>
      </c>
      <c r="C23" s="114">
        <v>1</v>
      </c>
      <c r="D23" s="115"/>
      <c r="E23" s="100" t="s">
        <v>34</v>
      </c>
      <c r="F23" s="108">
        <v>441715.65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441715.65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63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56" t="s">
        <v>12</v>
      </c>
      <c r="B42" s="21"/>
      <c r="C42" s="22"/>
      <c r="D42" s="23"/>
      <c r="E42" s="55" t="s">
        <v>18</v>
      </c>
      <c r="F42" s="24"/>
    </row>
    <row r="43" spans="1:6" ht="12.75" customHeight="1" x14ac:dyDescent="0.25">
      <c r="A43" s="57" t="str">
        <f>A6</f>
        <v>DATE: 23-06-2025</v>
      </c>
      <c r="B43" s="26"/>
      <c r="C43" s="5"/>
      <c r="D43" s="26"/>
      <c r="E43" s="58" t="str">
        <f>A43</f>
        <v>DATE: 23-06-2025</v>
      </c>
      <c r="F43" s="27"/>
    </row>
    <row r="44" spans="1:6" ht="16.5" customHeight="1" x14ac:dyDescent="0.25">
      <c r="A44" s="53" t="s">
        <v>50</v>
      </c>
      <c r="B44" s="28"/>
      <c r="C44" s="5"/>
      <c r="D44" s="29"/>
      <c r="E44" s="50" t="s">
        <v>71</v>
      </c>
      <c r="F44" s="27"/>
    </row>
    <row r="45" spans="1:6" ht="15" customHeight="1" x14ac:dyDescent="0.25">
      <c r="A45" s="125" t="s">
        <v>13</v>
      </c>
      <c r="B45" s="125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37"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F23:F26"/>
    <mergeCell ref="A29:B29"/>
    <mergeCell ref="A15:B15"/>
    <mergeCell ref="E15:F15"/>
    <mergeCell ref="E17:F17"/>
    <mergeCell ref="E18:F18"/>
    <mergeCell ref="A20:F20"/>
    <mergeCell ref="C22:D22"/>
    <mergeCell ref="A35:B35"/>
    <mergeCell ref="A23:A26"/>
    <mergeCell ref="B23:B26"/>
    <mergeCell ref="C23:D26"/>
    <mergeCell ref="E23:E26"/>
    <mergeCell ref="A30:B30"/>
    <mergeCell ref="A31:B31"/>
    <mergeCell ref="A32:B32"/>
    <mergeCell ref="A33:B33"/>
    <mergeCell ref="A34:B34"/>
    <mergeCell ref="D45:E45"/>
    <mergeCell ref="A36:B36"/>
    <mergeCell ref="A37:B37"/>
    <mergeCell ref="A38:B38"/>
    <mergeCell ref="A39:B39"/>
    <mergeCell ref="A40:B40"/>
    <mergeCell ref="A45:B45"/>
  </mergeCells>
  <hyperlinks>
    <hyperlink ref="A15" r:id="rId1" display="mailto:woodlite18@gmail.com" xr:uid="{8DC03938-5838-4129-9432-0C4E78AD97DB}"/>
    <hyperlink ref="A40" r:id="rId2" xr:uid="{89ED5D2C-ACD0-4F3E-8B91-E0A785858C65}"/>
  </hyperlinks>
  <pageMargins left="0.7" right="0.7" top="1.1299999999999999" bottom="0.75" header="0.35" footer="0.3"/>
  <pageSetup scale="83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53E6-4635-4F99-9E84-1AAAF0FB9EC3}">
  <dimension ref="A2:G51"/>
  <sheetViews>
    <sheetView view="pageBreakPreview" zoomScaleSheetLayoutView="100" workbookViewId="0">
      <selection activeCell="M31" sqref="M31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73</v>
      </c>
      <c r="E6" s="52" t="s">
        <v>72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5.75" x14ac:dyDescent="0.25">
      <c r="A10" s="87" t="s">
        <v>6</v>
      </c>
      <c r="B10" s="88"/>
      <c r="E10" s="140" t="s">
        <v>74</v>
      </c>
      <c r="F10" s="141"/>
    </row>
    <row r="11" spans="1:7" s="12" customFormat="1" ht="14.25" x14ac:dyDescent="0.2">
      <c r="A11" s="69" t="s">
        <v>7</v>
      </c>
      <c r="B11" s="70"/>
      <c r="E11" s="86" t="s">
        <v>75</v>
      </c>
      <c r="F11" s="78"/>
    </row>
    <row r="12" spans="1:7" s="12" customFormat="1" ht="14.25" x14ac:dyDescent="0.2">
      <c r="A12" s="69" t="s">
        <v>8</v>
      </c>
      <c r="B12" s="70"/>
      <c r="E12" s="131" t="s">
        <v>76</v>
      </c>
      <c r="F12" s="78"/>
    </row>
    <row r="13" spans="1:7" s="12" customFormat="1" ht="14.25" x14ac:dyDescent="0.2">
      <c r="A13" s="69" t="s">
        <v>9</v>
      </c>
      <c r="B13" s="70"/>
      <c r="E13" s="75" t="s">
        <v>78</v>
      </c>
      <c r="F13" s="76"/>
    </row>
    <row r="14" spans="1:7" s="12" customFormat="1" ht="14.25" x14ac:dyDescent="0.2">
      <c r="A14" s="69" t="s">
        <v>11</v>
      </c>
      <c r="B14" s="70"/>
      <c r="E14" s="75" t="s">
        <v>79</v>
      </c>
      <c r="F14" s="76"/>
    </row>
    <row r="15" spans="1:7" s="12" customFormat="1" ht="14.25" x14ac:dyDescent="0.2">
      <c r="A15" s="89" t="s">
        <v>10</v>
      </c>
      <c r="B15" s="90"/>
      <c r="E15" s="138" t="s">
        <v>80</v>
      </c>
      <c r="F15" s="139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5.75" x14ac:dyDescent="0.25">
      <c r="A20" s="120" t="s">
        <v>77</v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64</v>
      </c>
      <c r="C23" s="114">
        <v>1</v>
      </c>
      <c r="D23" s="115"/>
      <c r="E23" s="100" t="s">
        <v>34</v>
      </c>
      <c r="F23" s="108">
        <v>501628.35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501628.35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81</v>
      </c>
      <c r="B32" s="70"/>
      <c r="C32" s="6"/>
      <c r="D32" s="10"/>
      <c r="E32" s="10"/>
      <c r="F32" s="10"/>
    </row>
    <row r="33" spans="1:6" x14ac:dyDescent="0.25">
      <c r="A33" s="112"/>
      <c r="B33" s="113"/>
      <c r="C33" s="6"/>
      <c r="D33" s="10"/>
      <c r="E33" s="10"/>
      <c r="F33" s="10"/>
    </row>
    <row r="34" spans="1:6" x14ac:dyDescent="0.25">
      <c r="A34" s="69" t="s">
        <v>27</v>
      </c>
      <c r="B34" s="70"/>
      <c r="C34" s="6"/>
      <c r="D34" s="10"/>
      <c r="E34" s="16"/>
      <c r="F34" s="16"/>
    </row>
    <row r="35" spans="1:6" x14ac:dyDescent="0.25">
      <c r="A35" s="69" t="s">
        <v>23</v>
      </c>
      <c r="B35" s="70"/>
      <c r="C35" s="6"/>
      <c r="D35" s="10"/>
      <c r="E35" s="16"/>
      <c r="F35" s="16"/>
    </row>
    <row r="36" spans="1:6" x14ac:dyDescent="0.25">
      <c r="A36" s="69" t="s">
        <v>24</v>
      </c>
      <c r="B36" s="70"/>
      <c r="C36" s="6"/>
      <c r="D36" s="10"/>
      <c r="E36" s="16"/>
      <c r="F36" s="16"/>
    </row>
    <row r="37" spans="1:6" x14ac:dyDescent="0.25">
      <c r="A37" s="69" t="s">
        <v>25</v>
      </c>
      <c r="B37" s="70"/>
      <c r="C37" s="6"/>
      <c r="D37" s="10"/>
      <c r="E37" s="16"/>
      <c r="F37" s="16"/>
    </row>
    <row r="38" spans="1:6" x14ac:dyDescent="0.25">
      <c r="A38" s="71" t="s">
        <v>26</v>
      </c>
      <c r="B38" s="72"/>
      <c r="C38" s="6"/>
      <c r="D38" s="10"/>
      <c r="E38" s="16"/>
      <c r="F38" s="16"/>
    </row>
    <row r="39" spans="1:6" x14ac:dyDescent="0.25">
      <c r="A39" s="89" t="s">
        <v>10</v>
      </c>
      <c r="B39" s="111"/>
      <c r="C39" s="6"/>
      <c r="D39" s="10"/>
      <c r="E39" s="16"/>
      <c r="F39" s="16"/>
    </row>
    <row r="40" spans="1:6" x14ac:dyDescent="0.25">
      <c r="B40" s="6"/>
      <c r="C40" s="6"/>
      <c r="D40" s="10"/>
      <c r="E40" s="10"/>
      <c r="F40" s="10"/>
    </row>
    <row r="41" spans="1:6" ht="17.25" customHeight="1" x14ac:dyDescent="0.25">
      <c r="A41" s="56" t="s">
        <v>12</v>
      </c>
      <c r="B41" s="21"/>
      <c r="C41" s="22"/>
      <c r="D41" s="23"/>
      <c r="E41" s="55" t="s">
        <v>18</v>
      </c>
      <c r="F41" s="24"/>
    </row>
    <row r="42" spans="1:6" ht="12.75" customHeight="1" x14ac:dyDescent="0.25">
      <c r="A42" s="57" t="str">
        <f>A6</f>
        <v>DATE: 24-04-2025</v>
      </c>
      <c r="B42" s="26"/>
      <c r="C42" s="5"/>
      <c r="D42" s="26"/>
      <c r="E42" s="58" t="str">
        <f>A42</f>
        <v>DATE: 24-04-2025</v>
      </c>
      <c r="F42" s="27"/>
    </row>
    <row r="43" spans="1:6" ht="16.5" customHeight="1" x14ac:dyDescent="0.25">
      <c r="A43" s="53" t="s">
        <v>50</v>
      </c>
      <c r="B43" s="28"/>
      <c r="C43" s="5"/>
      <c r="D43" s="29"/>
      <c r="E43" s="54" t="s">
        <v>74</v>
      </c>
      <c r="F43" s="27"/>
    </row>
    <row r="44" spans="1:6" ht="15" customHeight="1" x14ac:dyDescent="0.25">
      <c r="A44" s="125" t="s">
        <v>13</v>
      </c>
      <c r="B44" s="125"/>
      <c r="C44" s="19"/>
      <c r="D44" s="93"/>
      <c r="E44" s="93"/>
      <c r="F44" s="18"/>
    </row>
    <row r="45" spans="1:6" x14ac:dyDescent="0.25">
      <c r="A45" s="33"/>
      <c r="B45" s="19"/>
      <c r="C45" s="19"/>
      <c r="D45" s="19"/>
      <c r="E45" s="19"/>
      <c r="F45" s="34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"/>
      <c r="F47" s="35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4"/>
      <c r="B51" s="36"/>
      <c r="C51" s="36"/>
      <c r="D51" s="36"/>
      <c r="E51" s="36"/>
      <c r="F51" s="37"/>
    </row>
  </sheetData>
  <mergeCells count="36"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29:B29"/>
    <mergeCell ref="A15:B15"/>
    <mergeCell ref="E15:F15"/>
    <mergeCell ref="E17:F17"/>
    <mergeCell ref="E18:F18"/>
    <mergeCell ref="A20:F20"/>
    <mergeCell ref="C22:D22"/>
    <mergeCell ref="A23:A26"/>
    <mergeCell ref="B23:B26"/>
    <mergeCell ref="C23:D26"/>
    <mergeCell ref="E23:E26"/>
    <mergeCell ref="F23:F26"/>
    <mergeCell ref="A30:B30"/>
    <mergeCell ref="A31:B31"/>
    <mergeCell ref="A32:B32"/>
    <mergeCell ref="A33:B33"/>
    <mergeCell ref="A34:B34"/>
    <mergeCell ref="D44:E44"/>
    <mergeCell ref="A35:B35"/>
    <mergeCell ref="A36:B36"/>
    <mergeCell ref="A37:B37"/>
    <mergeCell ref="A38:B38"/>
    <mergeCell ref="A39:B39"/>
    <mergeCell ref="A44:B44"/>
  </mergeCells>
  <hyperlinks>
    <hyperlink ref="A15" r:id="rId1" display="mailto:woodlite18@gmail.com" xr:uid="{64112FA0-0A4F-4F21-8269-E5E4FD82705C}"/>
    <hyperlink ref="A39" r:id="rId2" xr:uid="{D90C73BC-C0E3-44E3-BD1B-B85C71CA7FDD}"/>
  </hyperlinks>
  <pageMargins left="0.7" right="0.7" top="1.1299999999999999" bottom="0.75" header="0.35" footer="0.3"/>
  <pageSetup scale="83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0EBD-FC8B-4B4F-BCDD-2A683C677CDA}">
  <dimension ref="A2:G106"/>
  <sheetViews>
    <sheetView tabSelected="1" view="pageBreakPreview" zoomScaleSheetLayoutView="100" workbookViewId="0">
      <selection activeCell="G10" sqref="G10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inlineStr">
        <is>
          <t xml:space="preserve">DATE: 12-10-2026</t>
        </is>
      </c>
      <c r="E6" s="52" t="inlineStr">
        <is>
          <t xml:space="preserve">PO NUMBER: [TO BE ASSIGNED]</t>
        </is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inlineStr">
        <is>
          <t xml:space="preserve">Wuxi Chamol Precision Machinery Co., Ltd.</t>
        </is>
      </c>
      <c r="F10" s="85"/>
    </row>
    <row r="11" spans="1:7" s="12" customFormat="1" ht="14.25" x14ac:dyDescent="0.2">
      <c r="A11" s="69" t="s">
        <v>7</v>
      </c>
      <c r="B11" s="70"/>
      <c r="E11" s="86" t="inlineStr">
        <is>
          <t xml:space="preserve">Wuxi, China</t>
        </is>
      </c>
      <c r="F11" s="78"/>
    </row>
    <row r="12" spans="1:7" s="12" customFormat="1" ht="14.25" x14ac:dyDescent="0.2">
      <c r="A12" s="69" t="s">
        <v>8</v>
      </c>
      <c r="B12" s="70"/>
      <c r="E12" s="131" t="inlineStr">
        <is>
          <t xml:space="preserve">Tel: +86 15861558851</t>
        </is>
      </c>
      <c r="F12" s="78"/>
    </row>
    <row r="13" spans="1:7" s="12" customFormat="1" ht="14.25" x14ac:dyDescent="0.2">
      <c r="A13" s="69" t="s">
        <v>9</v>
      </c>
      <c r="B13" s="70"/>
      <c r="E13" s="75" t="inlineStr">
        <is>
          <t xml:space="preserve">Email: sales@chamolgear.com</t>
        </is>
      </c>
      <c r="F13" s="76"/>
    </row>
    <row r="14" spans="1:7" s="12" customFormat="1" ht="14.25" x14ac:dyDescent="0.2">
      <c r="A14" s="69" t="s">
        <v>11</v>
      </c>
      <c r="B14" s="70"/>
      <c r="E14" s="75" t="inlineStr">
        <is>
          <t xml:space="preserve">www.chamolgear.com</t>
        </is>
      </c>
      <c r="F14" s="76"/>
    </row>
    <row r="15" spans="1:7" s="12" customFormat="1" ht="14.25" x14ac:dyDescent="0.2">
      <c r="A15" s="89" t="s">
        <v>10</v>
      </c>
      <c r="B15" s="90"/>
      <c r="E15" s="126"/>
      <c r="F15" s="127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 t="inlineStr">
        <is>
          <t xml:space="preserve">12-10-2026</t>
        </is>
      </c>
      <c r="B18" s="2" t="inlineStr">
        <is>
          <t xml:space="preserve">Amadi Kinikanwo</t>
        </is>
      </c>
      <c r="C18" s="2" t="inlineStr">
        <is>
          <t xml:space="preserve">FedEx IEF</t>
        </is>
      </c>
      <c r="D18" s="2" t="inlineStr">
        <is>
          <t xml:space="preserve">Port Harcourt</t>
        </is>
      </c>
      <c r="E18" s="95" t="inlineStr">
        <is>
          <t xml:space="preserve">50% Adv. / 50% Bef. Shipment</t>
        </is>
      </c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9.5" customHeight="1" x14ac:dyDescent="0.25">
      <c r="A20" s="120" t="inlineStr">
        <is>
          <t xml:space="preserve">Delivery Terms: CIF Port Harcourt, FedEx IEF 6-8 days</t>
        </is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28">
        <v>1</v>
      </c>
      <c r="B23" s="129" t="inlineStr">
        <is>
          <t xml:space="preserve">Spiral Bevel Gear Set (18CrNiMo7-6)</t>
        </is>
      </c>
      <c r="C23" s="129">
        <v>1</v>
      </c>
      <c r="D23" s="129"/>
      <c r="E23" s="128" t="inlineStr">
        <is>
          <t xml:space="preserve">Set</t>
        </is>
      </c>
      <c r="F23" s="130">
        <v>6700</v>
      </c>
    </row>
    <row r="24" spans="1:6" x14ac:dyDescent="0.25">
      <c r="A24" s="128"/>
      <c r="B24" s="129"/>
      <c r="C24" s="129"/>
      <c r="D24" s="129"/>
      <c r="E24" s="128"/>
      <c r="F24" s="130"/>
    </row>
    <row r="25" spans="1:6" x14ac:dyDescent="0.25">
      <c r="A25" s="128">
        <v>2</v>
      </c>
      <c r="B25" s="129" t="inlineStr">
        <is>
          <t xml:space="preserve">Shipping Cost (CIF Port Harcourt)</t>
        </is>
      </c>
      <c r="C25" s="128">
        <v>1</v>
      </c>
      <c r="D25" s="128"/>
      <c r="E25" s="128" t="inlineStr">
        <is>
          <t xml:space="preserve">Lot</t>
        </is>
      </c>
      <c r="F25" s="130">
        <v>2568</v>
      </c>
    </row>
    <row r="26" spans="1:6" x14ac:dyDescent="0.25">
      <c r="A26" s="128"/>
      <c r="B26" s="129"/>
      <c r="C26" s="128"/>
      <c r="D26" s="128"/>
      <c r="E26" s="128"/>
      <c r="F26" s="130"/>
    </row>
    <row r="27" spans="1:6" ht="25.5" customHeight="1" x14ac:dyDescent="0.25">
      <c r="A27" s="6"/>
      <c r="E27" s="31" t="s">
        <v>33</v>
      </c>
      <c r="F27" s="32">
        <f>SUM(F23:F26)</f>
        <v>9268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69" t="inlineStr">
        <is>
          <t xml:space="preserve">Ref: Chamol Quote No. QN261012F018</t>
        </is>
      </c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inlineStr">
        <is>
          <t xml:space="preserve">1) 50% Advance, balance before shipment by T/T</t>
        </is>
      </c>
      <c r="B32" s="70"/>
      <c r="C32" s="6"/>
      <c r="D32" s="10"/>
      <c r="E32" s="10"/>
      <c r="F32" s="10"/>
    </row>
    <row r="33" spans="1:6" x14ac:dyDescent="0.25">
      <c r="A33" s="69" t="inlineStr">
        <is>
          <t xml:space="preserve">2) Excluding V.A.T</t>
        </is>
      </c>
      <c r="B33" s="70"/>
      <c r="C33" s="6"/>
      <c r="D33" s="10"/>
      <c r="E33" s="10"/>
      <c r="F33" s="10"/>
    </row>
    <row r="34" spans="1:6" x14ac:dyDescent="0.25">
      <c r="A34" s="69" t="inlineStr">
        <is>
          <t xml:space="preserve">3) Delivery: 30 days after advance payment</t>
        </is>
      </c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56" t="s">
        <v>12</v>
      </c>
      <c r="B42" s="55"/>
      <c r="C42" s="22"/>
      <c r="D42" s="23"/>
      <c r="E42" s="55" t="s">
        <v>18</v>
      </c>
      <c r="F42" s="24"/>
    </row>
    <row r="43" spans="1:6" s="64" customFormat="1" ht="16.5" customHeight="1" x14ac:dyDescent="0.25">
      <c r="A43" s="60" t="str">
        <f>A6</f>
        <v>DATE: 12-10-2026</v>
      </c>
      <c r="B43" s="61"/>
      <c r="C43" s="62"/>
      <c r="D43" s="30"/>
      <c r="E43" s="61" t="str">
        <f>A43</f>
        <v>DATE: 12-10-2026</v>
      </c>
      <c r="F43" s="63"/>
    </row>
    <row r="44" spans="1:6" ht="16.5" customHeight="1" x14ac:dyDescent="0.25">
      <c r="A44" s="53" t="s">
        <v>50</v>
      </c>
      <c r="B44" s="59"/>
      <c r="C44" s="5"/>
      <c r="D44" s="29"/>
      <c r="E44" s="54" t="inlineStr">
        <is>
          <t xml:space="preserve">WUXI CHAMOL PRECISION MACHINERY CO., LTD.</t>
        </is>
      </c>
      <c r="F44" s="27"/>
    </row>
    <row r="45" spans="1:6" ht="15" customHeight="1" x14ac:dyDescent="0.25">
      <c r="A45" s="125" t="s">
        <v>13</v>
      </c>
      <c r="B45" s="125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42">
    <mergeCell ref="F25:F26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29:B29"/>
    <mergeCell ref="A15:B15"/>
    <mergeCell ref="E15:F15"/>
    <mergeCell ref="E17:F17"/>
    <mergeCell ref="E18:F18"/>
    <mergeCell ref="A20:F20"/>
    <mergeCell ref="C22:D22"/>
    <mergeCell ref="A23:A24"/>
    <mergeCell ref="B23:B24"/>
    <mergeCell ref="C23:D24"/>
    <mergeCell ref="E23:E24"/>
    <mergeCell ref="F23:F24"/>
    <mergeCell ref="A25:A26"/>
    <mergeCell ref="B25:B26"/>
    <mergeCell ref="C25:D26"/>
    <mergeCell ref="E25:E26"/>
    <mergeCell ref="A35:B35"/>
    <mergeCell ref="A30:B30"/>
    <mergeCell ref="A31:B31"/>
    <mergeCell ref="A32:B32"/>
    <mergeCell ref="A33:B33"/>
    <mergeCell ref="A34:B34"/>
    <mergeCell ref="D45:E45"/>
    <mergeCell ref="A36:B36"/>
    <mergeCell ref="A37:B37"/>
    <mergeCell ref="A38:B38"/>
    <mergeCell ref="A39:B39"/>
    <mergeCell ref="A40:B40"/>
    <mergeCell ref="A45:B45"/>
  </mergeCells>
  <hyperlinks>
    <hyperlink ref="A15" r:id="rId1" display="mailto:woodlite18@gmail.com" xr:uid="{FC4ECE9B-F79A-45F1-9435-E7D46DD8DD70}"/>
    <hyperlink ref="A40" r:id="rId2" xr:uid="{61651D3A-D850-4904-BA22-5D5196C43D97}"/>
  </hyperlinks>
  <pageMargins left="0.7" right="0.7" top="1.1299999999999999" bottom="0.75" header="0.35" footer="0.3"/>
  <pageSetup scale="78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rowBreaks count="1" manualBreakCount="1">
    <brk id="52" max="16383" man="1"/>
  </rowBreaks>
  <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Protech</vt:lpstr>
      <vt:lpstr>DoilMetal Inc.</vt:lpstr>
      <vt:lpstr>Hyundai Welding</vt:lpstr>
      <vt:lpstr>TK Piping</vt:lpstr>
      <vt:lpstr>NUVOLA</vt:lpstr>
      <vt:lpstr>DELION KOREA</vt:lpstr>
      <vt:lpstr>CHAMOL</vt:lpstr>
      <vt:lpstr>'DELION KOREA'!Print_Area</vt:lpstr>
      <vt:lpstr>CHAMOL!Print_Area</vt:lpstr>
      <vt:lpstr>'DoilMetal Inc.'!Print_Area</vt:lpstr>
      <vt:lpstr>'Hyundai Welding'!Print_Area</vt:lpstr>
      <vt:lpstr>NUVOLA!Print_Area</vt:lpstr>
      <vt:lpstr>Protech!Print_Area</vt:lpstr>
      <vt:lpstr>'TK Piping'!Print_Area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2025-10-06T07:53:50Z</cp:lastPrinted>
  <dcterms:created xsi:type="dcterms:W3CDTF">2022-09-22T09:46:48Z</dcterms:created>
  <dcterms:modified xsi:type="dcterms:W3CDTF">2025-10-06T08:03:25Z</dcterms:modified>
</cp:coreProperties>
</file>